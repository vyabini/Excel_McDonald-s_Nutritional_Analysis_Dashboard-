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Ex2.xml" ContentType="application/vnd.ms-office.chartex+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tables/table12.xml" ContentType="application/vnd.openxmlformats-officedocument.spreadsheetml.tab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slicers/slicer4.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E:\Example Excel Projects\"/>
    </mc:Choice>
  </mc:AlternateContent>
  <xr:revisionPtr revIDLastSave="0" documentId="13_ncr:1_{5D755B9B-3567-467A-9851-114AA46BBB69}" xr6:coauthVersionLast="47" xr6:coauthVersionMax="47" xr10:uidLastSave="{00000000-0000-0000-0000-000000000000}"/>
  <bookViews>
    <workbookView xWindow="-108" yWindow="-108" windowWidth="23256" windowHeight="13176" activeTab="1" xr2:uid="{00000000-000D-0000-FFFF-FFFF00000000}"/>
  </bookViews>
  <sheets>
    <sheet name="menu" sheetId="1" r:id="rId1"/>
    <sheet name="Menu_Cleaned" sheetId="5" r:id="rId2"/>
    <sheet name="Dashboard" sheetId="22" r:id="rId3"/>
    <sheet name="Category_Items" sheetId="20" r:id="rId4"/>
    <sheet name="List_NutientFacts" sheetId="21" r:id="rId5"/>
    <sheet name="SugarContent_Desserts" sheetId="10" r:id="rId6"/>
    <sheet name="IdealCalorieItems" sheetId="11" r:id="rId7"/>
    <sheet name="FatCaloriePercent" sheetId="14" r:id="rId8"/>
    <sheet name="Micronutrients_Classification" sheetId="15" r:id="rId9"/>
    <sheet name="Calorie vs CalorieFromFat" sheetId="16" r:id="rId10"/>
    <sheet name="Top N Items" sheetId="17" r:id="rId11"/>
    <sheet name="Sheet5" sheetId="7" r:id="rId12"/>
  </sheets>
  <definedNames>
    <definedName name="_xlnm._FilterDatabase" localSheetId="0" hidden="1">menu!$A$1:$X$261</definedName>
    <definedName name="_xlnm._FilterDatabase" localSheetId="1" hidden="1">Menu_Cleaned!$A$1:$Y$261</definedName>
    <definedName name="_xlnm._FilterDatabase" localSheetId="5" hidden="1">SugarContent_Desserts!$F$4:$H$4</definedName>
    <definedName name="_xlchart.v1.0" hidden="1">SugarContent_Desserts!$F$5:$F$11</definedName>
    <definedName name="_xlchart.v1.1" hidden="1">SugarContent_Desserts!$G$4</definedName>
    <definedName name="_xlchart.v1.2" hidden="1">SugarContent_Desserts!$G$5:$G$11</definedName>
    <definedName name="_xlchart.v1.3" hidden="1">SugarContent_Desserts!$F$5:$F$11</definedName>
    <definedName name="_xlchart.v1.4" hidden="1">SugarContent_Desserts!$G$4</definedName>
    <definedName name="_xlchart.v1.5" hidden="1">SugarContent_Desserts!$G$5:$G$11</definedName>
    <definedName name="_xlcn.WorksheetConnection_menu2A1Z2611" hidden="1">Menu_Cleaned!$A$1:$Z$261</definedName>
    <definedName name="_xlcn.WorksheetConnection_menuA1X2611" hidden="1">menu!$A$1:$X$261</definedName>
    <definedName name="A_B">Category_Items!$A$13</definedName>
    <definedName name="Beef_Pork">Table11[Beef_Pork]</definedName>
    <definedName name="Beverages">Table15[Beverages]</definedName>
    <definedName name="Breakfast">Table8[Breakfast]</definedName>
    <definedName name="Categories">Table6[Category]</definedName>
    <definedName name="Chicken_Fish">Table7[Chicken_Fish]</definedName>
    <definedName name="Coffee_Tea">Table10[Coffee_Tea]</definedName>
    <definedName name="Desserts">Table14[Desserts]</definedName>
    <definedName name="Fruits">#REF!</definedName>
    <definedName name="HighCarbs">Carbs[]</definedName>
    <definedName name="Produce">#REF!</definedName>
    <definedName name="Salads">Table13[Salads]</definedName>
    <definedName name="Slicer_Category">#N/A</definedName>
    <definedName name="Slicer_Category1">#N/A</definedName>
    <definedName name="Smoothies_Shakes">Table9[Smoothies_Shakes]</definedName>
    <definedName name="Snacks_Sides">Table12[Snacks_Sides]</definedName>
    <definedName name="Vegetables">#REF!</definedName>
  </definedNames>
  <calcPr calcId="191029"/>
  <pivotCaches>
    <pivotCache cacheId="1" r:id="rId13"/>
    <pivotCache cacheId="2" r:id="rId14"/>
    <pivotCache cacheId="4" r:id="rId15"/>
    <pivotCache cacheId="38" r:id="rId16"/>
    <pivotCache cacheId="85" r:id="rId17"/>
    <pivotCache cacheId="110" r:id="rId18"/>
    <pivotCache cacheId="113" r:id="rId19"/>
  </pivotCaches>
  <extLst>
    <ext xmlns:x14="http://schemas.microsoft.com/office/spreadsheetml/2009/9/main" uri="{876F7934-8845-4945-9796-88D515C7AA90}">
      <x14:pivotCaches>
        <pivotCache cacheId="7" r:id="rId20"/>
        <pivotCache cacheId="8" r:id="rId21"/>
      </x14:pivotCaches>
    </ext>
    <ext xmlns:x14="http://schemas.microsoft.com/office/spreadsheetml/2009/9/main" uri="{BBE1A952-AA13-448e-AADC-164F8A28A991}">
      <x14:slicerCaches>
        <x14:slicerCache r:id="rId22"/>
        <x14:slicerCache r:id="rId2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menu!$A$1:$X$261"/>
          <x15:modelTable id="Range 1" name="Range 1" connection="WorksheetConnection_menu (2)!$A$1:$Z$26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4" i="17" l="1" a="1"/>
  <c r="J4" i="17" s="1"/>
  <c r="E4" i="14" a="1"/>
  <c r="E4" i="14" s="1"/>
  <c r="I5" i="14" a="1"/>
  <c r="I5" i="14" s="1"/>
  <c r="Z3" i="5" a="1"/>
  <c r="Z3" i="5" s="1"/>
  <c r="D18" i="22"/>
  <c r="N23" i="17"/>
  <c r="D10" i="22"/>
  <c r="D11" i="22"/>
  <c r="B9" i="22"/>
  <c r="D12" i="22"/>
  <c r="D13" i="22"/>
  <c r="D14" i="22"/>
  <c r="D15" i="22"/>
  <c r="D16" i="22"/>
  <c r="D17" i="22"/>
  <c r="F9" i="21"/>
  <c r="E9" i="21"/>
  <c r="D9" i="21"/>
  <c r="C9" i="21"/>
  <c r="D18" i="21"/>
  <c r="D17" i="21"/>
  <c r="D16" i="21"/>
  <c r="D15" i="21"/>
  <c r="D14" i="21"/>
  <c r="D13" i="21"/>
  <c r="D12" i="21"/>
  <c r="D11" i="21"/>
  <c r="J9" i="21"/>
  <c r="I9" i="21"/>
  <c r="H9" i="21"/>
  <c r="G9" i="21"/>
  <c r="F3" i="16"/>
  <c r="G3" i="16"/>
  <c r="F4" i="16"/>
  <c r="G4" i="16"/>
  <c r="F5" i="16"/>
  <c r="G5" i="16"/>
  <c r="F6" i="16"/>
  <c r="G6" i="16"/>
  <c r="F7" i="16"/>
  <c r="G7" i="16"/>
  <c r="F8" i="16"/>
  <c r="G8" i="16"/>
  <c r="F9" i="16"/>
  <c r="G9" i="16"/>
  <c r="F10" i="16"/>
  <c r="G10" i="16"/>
  <c r="F11" i="16"/>
  <c r="G11" i="16"/>
  <c r="F12" i="16"/>
  <c r="G12" i="16"/>
  <c r="F13" i="16"/>
  <c r="G13" i="16"/>
  <c r="F14" i="16"/>
  <c r="G14" i="16"/>
  <c r="F15" i="16"/>
  <c r="G15" i="16"/>
  <c r="F16" i="16"/>
  <c r="G16" i="16"/>
  <c r="F17" i="16"/>
  <c r="G17" i="16"/>
  <c r="F18" i="16"/>
  <c r="G18" i="16"/>
  <c r="F19" i="16"/>
  <c r="G19" i="16"/>
  <c r="F20" i="16"/>
  <c r="G20" i="16"/>
  <c r="F21" i="16"/>
  <c r="G21" i="16"/>
  <c r="F22" i="16"/>
  <c r="G22" i="16"/>
  <c r="F23" i="16"/>
  <c r="G23" i="16"/>
  <c r="F24" i="16"/>
  <c r="G24" i="16"/>
  <c r="F25" i="16"/>
  <c r="G25" i="16"/>
  <c r="F26" i="16"/>
  <c r="G26" i="16"/>
  <c r="F27" i="16"/>
  <c r="G27" i="16"/>
  <c r="F28" i="16"/>
  <c r="G28" i="16"/>
  <c r="F29" i="16"/>
  <c r="G29" i="16"/>
  <c r="F30" i="16"/>
  <c r="G30" i="16"/>
  <c r="F31" i="16"/>
  <c r="G31" i="16"/>
  <c r="F32" i="16"/>
  <c r="G32" i="16"/>
  <c r="F33" i="16"/>
  <c r="G33" i="16"/>
  <c r="F34" i="16"/>
  <c r="G34" i="16"/>
  <c r="F35" i="16"/>
  <c r="G35" i="16"/>
  <c r="F36" i="16"/>
  <c r="G36" i="16"/>
  <c r="F37" i="16"/>
  <c r="G37" i="16"/>
  <c r="F38" i="16"/>
  <c r="G38" i="16"/>
  <c r="F39" i="16"/>
  <c r="G39" i="16"/>
  <c r="F40" i="16"/>
  <c r="G40" i="16"/>
  <c r="F41" i="16"/>
  <c r="G41" i="16"/>
  <c r="F42" i="16"/>
  <c r="G42" i="16"/>
  <c r="F43" i="16"/>
  <c r="G43" i="16"/>
  <c r="F44" i="16"/>
  <c r="G44" i="16"/>
  <c r="F45" i="16"/>
  <c r="G45" i="16"/>
  <c r="F46" i="16"/>
  <c r="G46" i="16"/>
  <c r="F47" i="16"/>
  <c r="G47" i="16"/>
  <c r="F48" i="16"/>
  <c r="G48" i="16"/>
  <c r="F49" i="16"/>
  <c r="G49" i="16"/>
  <c r="F50" i="16"/>
  <c r="G50" i="16"/>
  <c r="F51" i="16"/>
  <c r="G51" i="16"/>
  <c r="F52" i="16"/>
  <c r="G52" i="16"/>
  <c r="F53" i="16"/>
  <c r="G53" i="16"/>
  <c r="F54" i="16"/>
  <c r="G54" i="16"/>
  <c r="F55" i="16"/>
  <c r="G55" i="16"/>
  <c r="F56" i="16"/>
  <c r="G56" i="16"/>
  <c r="F57" i="16"/>
  <c r="G57" i="16"/>
  <c r="F58" i="16"/>
  <c r="G58" i="16"/>
  <c r="F59" i="16"/>
  <c r="G59" i="16"/>
  <c r="F60" i="16"/>
  <c r="G60" i="16"/>
  <c r="F61" i="16"/>
  <c r="G61" i="16"/>
  <c r="F62" i="16"/>
  <c r="G62" i="16"/>
  <c r="F63" i="16"/>
  <c r="G63" i="16"/>
  <c r="F64" i="16"/>
  <c r="G64" i="16"/>
  <c r="F65" i="16"/>
  <c r="G65" i="16"/>
  <c r="F66" i="16"/>
  <c r="G66" i="16"/>
  <c r="F67" i="16"/>
  <c r="G67" i="16"/>
  <c r="F68" i="16"/>
  <c r="G68" i="16"/>
  <c r="F69" i="16"/>
  <c r="G69" i="16"/>
  <c r="F70" i="16"/>
  <c r="G70" i="16"/>
  <c r="F71" i="16"/>
  <c r="G71" i="16"/>
  <c r="F72" i="16"/>
  <c r="G72" i="16"/>
  <c r="F73" i="16"/>
  <c r="G73" i="16"/>
  <c r="F74" i="16"/>
  <c r="G74" i="16"/>
  <c r="F75" i="16"/>
  <c r="G75" i="16"/>
  <c r="F76" i="16"/>
  <c r="G76" i="16"/>
  <c r="F77" i="16"/>
  <c r="G77" i="16"/>
  <c r="F78" i="16"/>
  <c r="G78" i="16"/>
  <c r="F79" i="16"/>
  <c r="G79" i="16"/>
  <c r="F80" i="16"/>
  <c r="G80" i="16"/>
  <c r="F81" i="16"/>
  <c r="G81" i="16"/>
  <c r="F82" i="16"/>
  <c r="G82" i="16"/>
  <c r="F83" i="16"/>
  <c r="G83" i="16"/>
  <c r="F84" i="16"/>
  <c r="G84" i="16"/>
  <c r="F85" i="16"/>
  <c r="G85" i="16"/>
  <c r="F86" i="16"/>
  <c r="G86" i="16"/>
  <c r="F87" i="16"/>
  <c r="G87" i="16"/>
  <c r="F88" i="16"/>
  <c r="G88" i="16"/>
  <c r="F89" i="16"/>
  <c r="G89" i="16"/>
  <c r="F90" i="16"/>
  <c r="G90" i="16"/>
  <c r="F91" i="16"/>
  <c r="G91" i="16"/>
  <c r="F92" i="16"/>
  <c r="G92" i="16"/>
  <c r="F93" i="16"/>
  <c r="G93" i="16"/>
  <c r="F94" i="16"/>
  <c r="G94" i="16"/>
  <c r="F95" i="16"/>
  <c r="G95" i="16"/>
  <c r="F96" i="16"/>
  <c r="G96" i="16"/>
  <c r="F97" i="16"/>
  <c r="G97" i="16"/>
  <c r="F98" i="16"/>
  <c r="G98" i="16"/>
  <c r="F99" i="16"/>
  <c r="G99" i="16"/>
  <c r="F100" i="16"/>
  <c r="G100" i="16"/>
  <c r="F101" i="16"/>
  <c r="G101" i="16"/>
  <c r="F102" i="16"/>
  <c r="G102" i="16"/>
  <c r="F103" i="16"/>
  <c r="G103" i="16"/>
  <c r="F104" i="16"/>
  <c r="G104" i="16"/>
  <c r="F105" i="16"/>
  <c r="G105" i="16"/>
  <c r="F106" i="16"/>
  <c r="G106" i="16"/>
  <c r="F107" i="16"/>
  <c r="G107" i="16"/>
  <c r="F108" i="16"/>
  <c r="G108" i="16"/>
  <c r="F109" i="16"/>
  <c r="G109" i="16"/>
  <c r="F110" i="16"/>
  <c r="G110" i="16"/>
  <c r="F111" i="16"/>
  <c r="G111" i="16"/>
  <c r="F112" i="16"/>
  <c r="G112" i="16"/>
  <c r="F113" i="16"/>
  <c r="G113" i="16"/>
  <c r="F114" i="16"/>
  <c r="G114" i="16"/>
  <c r="F115" i="16"/>
  <c r="G115" i="16"/>
  <c r="F116" i="16"/>
  <c r="G116" i="16"/>
  <c r="F117" i="16"/>
  <c r="G117" i="16"/>
  <c r="F118" i="16"/>
  <c r="G118" i="16"/>
  <c r="F119" i="16"/>
  <c r="G119" i="16"/>
  <c r="F120" i="16"/>
  <c r="G120" i="16"/>
  <c r="F121" i="16"/>
  <c r="G121" i="16"/>
  <c r="F122" i="16"/>
  <c r="G122" i="16"/>
  <c r="F123" i="16"/>
  <c r="G123" i="16"/>
  <c r="F124" i="16"/>
  <c r="G124" i="16"/>
  <c r="F125" i="16"/>
  <c r="G125" i="16"/>
  <c r="F126" i="16"/>
  <c r="G126" i="16"/>
  <c r="F127" i="16"/>
  <c r="G127" i="16"/>
  <c r="F128" i="16"/>
  <c r="G128" i="16"/>
  <c r="F129" i="16"/>
  <c r="G129" i="16"/>
  <c r="F130" i="16"/>
  <c r="G130" i="16"/>
  <c r="F131" i="16"/>
  <c r="G131" i="16"/>
  <c r="F132" i="16"/>
  <c r="G132" i="16"/>
  <c r="F133" i="16"/>
  <c r="G133" i="16"/>
  <c r="F134" i="16"/>
  <c r="G134" i="16"/>
  <c r="F135" i="16"/>
  <c r="G135" i="16"/>
  <c r="F136" i="16"/>
  <c r="G136" i="16"/>
  <c r="F137" i="16"/>
  <c r="G137" i="16"/>
  <c r="F138" i="16"/>
  <c r="G138" i="16"/>
  <c r="F139" i="16"/>
  <c r="G139" i="16"/>
  <c r="F140" i="16"/>
  <c r="G140" i="16"/>
  <c r="F141" i="16"/>
  <c r="G141" i="16"/>
  <c r="F142" i="16"/>
  <c r="G142" i="16"/>
  <c r="F143" i="16"/>
  <c r="G143" i="16"/>
  <c r="F144" i="16"/>
  <c r="G144" i="16"/>
  <c r="F145" i="16"/>
  <c r="G145" i="16"/>
  <c r="F146" i="16"/>
  <c r="G146" i="16"/>
  <c r="F147" i="16"/>
  <c r="G147" i="16"/>
  <c r="F148" i="16"/>
  <c r="G148" i="16"/>
  <c r="F149" i="16"/>
  <c r="G149" i="16"/>
  <c r="F150" i="16"/>
  <c r="G150" i="16"/>
  <c r="F151" i="16"/>
  <c r="G151" i="16"/>
  <c r="F152" i="16"/>
  <c r="G152" i="16"/>
  <c r="F153" i="16"/>
  <c r="G153" i="16"/>
  <c r="F154" i="16"/>
  <c r="G154" i="16"/>
  <c r="F155" i="16"/>
  <c r="G155" i="16"/>
  <c r="F156" i="16"/>
  <c r="G156" i="16"/>
  <c r="F157" i="16"/>
  <c r="G157" i="16"/>
  <c r="F158" i="16"/>
  <c r="G158" i="16"/>
  <c r="F159" i="16"/>
  <c r="G159" i="16"/>
  <c r="F160" i="16"/>
  <c r="G160" i="16"/>
  <c r="F161" i="16"/>
  <c r="G161" i="16"/>
  <c r="F162" i="16"/>
  <c r="G162" i="16"/>
  <c r="F163" i="16"/>
  <c r="G163" i="16"/>
  <c r="F164" i="16"/>
  <c r="G164" i="16"/>
  <c r="F165" i="16"/>
  <c r="G165" i="16"/>
  <c r="F166" i="16"/>
  <c r="G166" i="16"/>
  <c r="F167" i="16"/>
  <c r="G167" i="16"/>
  <c r="F168" i="16"/>
  <c r="G168" i="16"/>
  <c r="F169" i="16"/>
  <c r="G169" i="16"/>
  <c r="F170" i="16"/>
  <c r="G170" i="16"/>
  <c r="F171" i="16"/>
  <c r="G171" i="16"/>
  <c r="F172" i="16"/>
  <c r="G172" i="16"/>
  <c r="F173" i="16"/>
  <c r="G173" i="16"/>
  <c r="F174" i="16"/>
  <c r="G174" i="16"/>
  <c r="F175" i="16"/>
  <c r="G175" i="16"/>
  <c r="F176" i="16"/>
  <c r="G176" i="16"/>
  <c r="F177" i="16"/>
  <c r="G177" i="16"/>
  <c r="F178" i="16"/>
  <c r="G178" i="16"/>
  <c r="F179" i="16"/>
  <c r="G179" i="16"/>
  <c r="F180" i="16"/>
  <c r="G180" i="16"/>
  <c r="F181" i="16"/>
  <c r="G181" i="16"/>
  <c r="F182" i="16"/>
  <c r="G182" i="16"/>
  <c r="F183" i="16"/>
  <c r="G183" i="16"/>
  <c r="F184" i="16"/>
  <c r="G184" i="16"/>
  <c r="F185" i="16"/>
  <c r="G185" i="16"/>
  <c r="F186" i="16"/>
  <c r="G186" i="16"/>
  <c r="F187" i="16"/>
  <c r="G187" i="16"/>
  <c r="F188" i="16"/>
  <c r="G188" i="16"/>
  <c r="F189" i="16"/>
  <c r="G189" i="16"/>
  <c r="F190" i="16"/>
  <c r="G190" i="16"/>
  <c r="F191" i="16"/>
  <c r="G191" i="16"/>
  <c r="F192" i="16"/>
  <c r="G192" i="16"/>
  <c r="F193" i="16"/>
  <c r="G193" i="16"/>
  <c r="F194" i="16"/>
  <c r="G194" i="16"/>
  <c r="F195" i="16"/>
  <c r="G195" i="16"/>
  <c r="F196" i="16"/>
  <c r="G196" i="16"/>
  <c r="F197" i="16"/>
  <c r="G197" i="16"/>
  <c r="F198" i="16"/>
  <c r="G198" i="16"/>
  <c r="F199" i="16"/>
  <c r="G199" i="16"/>
  <c r="F200" i="16"/>
  <c r="G200" i="16"/>
  <c r="F201" i="16"/>
  <c r="G201" i="16"/>
  <c r="F202" i="16"/>
  <c r="G202" i="16"/>
  <c r="F203" i="16"/>
  <c r="G203" i="16"/>
  <c r="F204" i="16"/>
  <c r="G204" i="16"/>
  <c r="F205" i="16"/>
  <c r="G205" i="16"/>
  <c r="F206" i="16"/>
  <c r="G206" i="16"/>
  <c r="F207" i="16"/>
  <c r="G207" i="16"/>
  <c r="F208" i="16"/>
  <c r="G208" i="16"/>
  <c r="F209" i="16"/>
  <c r="G209" i="16"/>
  <c r="F210" i="16"/>
  <c r="G210" i="16"/>
  <c r="F211" i="16"/>
  <c r="G211" i="16"/>
  <c r="F212" i="16"/>
  <c r="G212" i="16"/>
  <c r="F213" i="16"/>
  <c r="G213" i="16"/>
  <c r="F214" i="16"/>
  <c r="G214" i="16"/>
  <c r="F215" i="16"/>
  <c r="G215" i="16"/>
  <c r="F216" i="16"/>
  <c r="G216" i="16"/>
  <c r="F217" i="16"/>
  <c r="G217" i="16"/>
  <c r="F218" i="16"/>
  <c r="G218" i="16"/>
  <c r="F219" i="16"/>
  <c r="G219" i="16"/>
  <c r="F220" i="16"/>
  <c r="G220" i="16"/>
  <c r="F221" i="16"/>
  <c r="G221" i="16"/>
  <c r="F222" i="16"/>
  <c r="G222" i="16"/>
  <c r="F223" i="16"/>
  <c r="G223" i="16"/>
  <c r="F224" i="16"/>
  <c r="G224" i="16"/>
  <c r="F225" i="16"/>
  <c r="G225" i="16"/>
  <c r="F226" i="16"/>
  <c r="G226" i="16"/>
  <c r="F227" i="16"/>
  <c r="G227" i="16"/>
  <c r="F228" i="16"/>
  <c r="G228" i="16"/>
  <c r="F229" i="16"/>
  <c r="G229" i="16"/>
  <c r="F230" i="16"/>
  <c r="G230" i="16"/>
  <c r="F231" i="16"/>
  <c r="G231" i="16"/>
  <c r="F232" i="16"/>
  <c r="G232" i="16"/>
  <c r="F233" i="16"/>
  <c r="G233" i="16"/>
  <c r="F234" i="16"/>
  <c r="G234" i="16"/>
  <c r="F235" i="16"/>
  <c r="G235" i="16"/>
  <c r="F236" i="16"/>
  <c r="G236" i="16"/>
  <c r="F237" i="16"/>
  <c r="G237" i="16"/>
  <c r="F238" i="16"/>
  <c r="G238" i="16"/>
  <c r="F239" i="16"/>
  <c r="G239" i="16"/>
  <c r="F240" i="16"/>
  <c r="G240" i="16"/>
  <c r="F241" i="16"/>
  <c r="G241" i="16"/>
  <c r="F242" i="16"/>
  <c r="G242" i="16"/>
  <c r="F243" i="16"/>
  <c r="G243" i="16"/>
  <c r="F244" i="16"/>
  <c r="G244" i="16"/>
  <c r="F245" i="16"/>
  <c r="G245" i="16"/>
  <c r="F246" i="16"/>
  <c r="G246" i="16"/>
  <c r="F247" i="16"/>
  <c r="G247" i="16"/>
  <c r="F248" i="16"/>
  <c r="G248" i="16"/>
  <c r="F249" i="16"/>
  <c r="G249" i="16"/>
  <c r="F250" i="16"/>
  <c r="G250" i="16"/>
  <c r="F251" i="16"/>
  <c r="G251" i="16"/>
  <c r="F252" i="16"/>
  <c r="G252" i="16"/>
  <c r="F253" i="16"/>
  <c r="G253" i="16"/>
  <c r="F254" i="16"/>
  <c r="G254" i="16"/>
  <c r="F255" i="16"/>
  <c r="G255" i="16"/>
  <c r="F256" i="16"/>
  <c r="G256" i="16"/>
  <c r="F257" i="16"/>
  <c r="G257" i="16"/>
  <c r="F258" i="16"/>
  <c r="G258" i="16"/>
  <c r="F259" i="16"/>
  <c r="G259" i="16"/>
  <c r="F260" i="16"/>
  <c r="G260" i="16"/>
  <c r="F261" i="16"/>
  <c r="G261" i="16"/>
  <c r="F262" i="16"/>
  <c r="G262" i="16"/>
  <c r="F263" i="16"/>
  <c r="G263" i="16"/>
  <c r="E4" i="16"/>
  <c r="E5" i="16"/>
  <c r="E6" i="16"/>
  <c r="E7" i="16"/>
  <c r="E8" i="16"/>
  <c r="E9" i="16"/>
  <c r="E10" i="16"/>
  <c r="E11" i="16"/>
  <c r="E12" i="16"/>
  <c r="E13" i="16"/>
  <c r="E14" i="16"/>
  <c r="E15" i="16"/>
  <c r="E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55" i="16"/>
  <c r="E56" i="16"/>
  <c r="E57" i="16"/>
  <c r="E58" i="16"/>
  <c r="E59" i="16"/>
  <c r="E60" i="16"/>
  <c r="E61" i="16"/>
  <c r="E62" i="16"/>
  <c r="E63" i="16"/>
  <c r="E64" i="16"/>
  <c r="E65" i="16"/>
  <c r="E66" i="16"/>
  <c r="E67" i="16"/>
  <c r="E68" i="16"/>
  <c r="E69" i="16"/>
  <c r="E70" i="16"/>
  <c r="E71" i="16"/>
  <c r="E72" i="16"/>
  <c r="E73" i="16"/>
  <c r="E74" i="16"/>
  <c r="E75" i="16"/>
  <c r="E76" i="16"/>
  <c r="E77" i="16"/>
  <c r="E78" i="16"/>
  <c r="E79" i="16"/>
  <c r="E80" i="16"/>
  <c r="E81" i="16"/>
  <c r="E82" i="16"/>
  <c r="E83" i="16"/>
  <c r="E84" i="16"/>
  <c r="E85" i="16"/>
  <c r="E86" i="16"/>
  <c r="E87" i="16"/>
  <c r="E88" i="16"/>
  <c r="E89" i="16"/>
  <c r="E90" i="16"/>
  <c r="E91" i="16"/>
  <c r="E92" i="16"/>
  <c r="E93" i="16"/>
  <c r="E94" i="16"/>
  <c r="E95" i="16"/>
  <c r="E96" i="16"/>
  <c r="E97" i="16"/>
  <c r="E98" i="16"/>
  <c r="E99" i="16"/>
  <c r="E100" i="16"/>
  <c r="E101" i="16"/>
  <c r="E102" i="16"/>
  <c r="E103" i="16"/>
  <c r="E104" i="16"/>
  <c r="E105" i="16"/>
  <c r="E106" i="16"/>
  <c r="E107" i="16"/>
  <c r="E108" i="16"/>
  <c r="E109" i="16"/>
  <c r="E110" i="16"/>
  <c r="E111" i="16"/>
  <c r="E112" i="16"/>
  <c r="E113" i="16"/>
  <c r="E114" i="16"/>
  <c r="E115" i="16"/>
  <c r="E116" i="16"/>
  <c r="E117" i="16"/>
  <c r="E118" i="16"/>
  <c r="E119" i="16"/>
  <c r="E120" i="16"/>
  <c r="E121" i="16"/>
  <c r="E122" i="16"/>
  <c r="E123" i="16"/>
  <c r="E124" i="16"/>
  <c r="E125" i="16"/>
  <c r="E126" i="16"/>
  <c r="E127" i="16"/>
  <c r="E128" i="16"/>
  <c r="E129" i="16"/>
  <c r="E130" i="16"/>
  <c r="E131" i="16"/>
  <c r="E132" i="16"/>
  <c r="E133" i="16"/>
  <c r="E134" i="16"/>
  <c r="E135" i="16"/>
  <c r="E136" i="16"/>
  <c r="E137" i="16"/>
  <c r="E138" i="16"/>
  <c r="E139" i="16"/>
  <c r="E140" i="16"/>
  <c r="E141" i="16"/>
  <c r="E142" i="16"/>
  <c r="E143" i="16"/>
  <c r="E144" i="16"/>
  <c r="E145" i="16"/>
  <c r="E146" i="16"/>
  <c r="E147" i="16"/>
  <c r="E148" i="16"/>
  <c r="E149" i="16"/>
  <c r="E150" i="16"/>
  <c r="E151" i="16"/>
  <c r="E152" i="16"/>
  <c r="E153" i="16"/>
  <c r="E154" i="16"/>
  <c r="E155" i="16"/>
  <c r="E156" i="16"/>
  <c r="E157" i="16"/>
  <c r="E158" i="16"/>
  <c r="E159" i="16"/>
  <c r="E160" i="16"/>
  <c r="E161" i="16"/>
  <c r="E162" i="16"/>
  <c r="E163" i="16"/>
  <c r="E164" i="16"/>
  <c r="E165" i="16"/>
  <c r="E166" i="16"/>
  <c r="E167" i="16"/>
  <c r="E168" i="16"/>
  <c r="E169" i="16"/>
  <c r="E170" i="16"/>
  <c r="E171" i="16"/>
  <c r="E172" i="16"/>
  <c r="E173" i="16"/>
  <c r="E174" i="16"/>
  <c r="E175" i="16"/>
  <c r="E176" i="16"/>
  <c r="E177" i="16"/>
  <c r="E178" i="16"/>
  <c r="E179" i="16"/>
  <c r="E180" i="16"/>
  <c r="E181" i="16"/>
  <c r="E182" i="16"/>
  <c r="E183" i="16"/>
  <c r="E184" i="16"/>
  <c r="E185" i="16"/>
  <c r="E186" i="16"/>
  <c r="E187" i="16"/>
  <c r="E188" i="16"/>
  <c r="E189" i="16"/>
  <c r="E190" i="16"/>
  <c r="E191" i="16"/>
  <c r="E192" i="16"/>
  <c r="E193" i="16"/>
  <c r="E194" i="16"/>
  <c r="E195" i="16"/>
  <c r="E196" i="16"/>
  <c r="E197" i="16"/>
  <c r="E198" i="16"/>
  <c r="E199" i="16"/>
  <c r="E200" i="16"/>
  <c r="E201" i="16"/>
  <c r="E202" i="16"/>
  <c r="E203" i="16"/>
  <c r="E204" i="16"/>
  <c r="E205" i="16"/>
  <c r="E206" i="16"/>
  <c r="E207" i="16"/>
  <c r="E208" i="16"/>
  <c r="E209" i="16"/>
  <c r="E210" i="16"/>
  <c r="E211" i="16"/>
  <c r="E212" i="16"/>
  <c r="E213" i="16"/>
  <c r="E214" i="16"/>
  <c r="E215" i="16"/>
  <c r="E216" i="16"/>
  <c r="E217" i="16"/>
  <c r="E218" i="16"/>
  <c r="E219" i="16"/>
  <c r="E220" i="16"/>
  <c r="E221" i="16"/>
  <c r="E222" i="16"/>
  <c r="E223" i="16"/>
  <c r="E224" i="16"/>
  <c r="E225" i="16"/>
  <c r="E226" i="16"/>
  <c r="E227" i="16"/>
  <c r="E228" i="16"/>
  <c r="E229" i="16"/>
  <c r="E230" i="16"/>
  <c r="E231" i="16"/>
  <c r="E232" i="16"/>
  <c r="E233" i="16"/>
  <c r="E234" i="16"/>
  <c r="E235" i="16"/>
  <c r="E236" i="16"/>
  <c r="E237" i="16"/>
  <c r="E238" i="16"/>
  <c r="E239" i="16"/>
  <c r="E240" i="16"/>
  <c r="E241" i="16"/>
  <c r="E242" i="16"/>
  <c r="E243" i="16"/>
  <c r="E244" i="16"/>
  <c r="E245" i="16"/>
  <c r="E246" i="16"/>
  <c r="E247" i="16"/>
  <c r="E248" i="16"/>
  <c r="E249" i="16"/>
  <c r="E250" i="16"/>
  <c r="E251" i="16"/>
  <c r="E252" i="16"/>
  <c r="E253" i="16"/>
  <c r="E254" i="16"/>
  <c r="E255" i="16"/>
  <c r="E256" i="16"/>
  <c r="E257" i="16"/>
  <c r="E258" i="16"/>
  <c r="E259" i="16"/>
  <c r="E260" i="16"/>
  <c r="E261" i="16"/>
  <c r="E262" i="16"/>
  <c r="E263" i="16"/>
  <c r="E3" i="16"/>
  <c r="Z4" i="5" l="1" a="1"/>
  <c r="Z4" i="5" s="1"/>
  <c r="Z5" i="5" a="1"/>
  <c r="Z5" i="5" s="1"/>
  <c r="Z6" i="5" a="1"/>
  <c r="Z6" i="5" s="1"/>
  <c r="Z7" i="5" a="1"/>
  <c r="Z7" i="5" s="1"/>
  <c r="Z8" i="5" a="1"/>
  <c r="Z8" i="5" s="1"/>
  <c r="Z9" i="5" a="1"/>
  <c r="Z9" i="5" s="1"/>
  <c r="Z10" i="5" a="1"/>
  <c r="Z10" i="5" s="1"/>
  <c r="Z11" i="5" a="1"/>
  <c r="Z11" i="5" s="1"/>
  <c r="Z12" i="5" a="1"/>
  <c r="Z12" i="5" s="1"/>
  <c r="Z13" i="5" a="1"/>
  <c r="Z13" i="5" s="1"/>
  <c r="Z14" i="5" a="1"/>
  <c r="Z14" i="5" s="1"/>
  <c r="Z15" i="5" a="1"/>
  <c r="Z15" i="5" s="1"/>
  <c r="Z16" i="5" a="1"/>
  <c r="Z16" i="5" s="1"/>
  <c r="Z17" i="5" a="1"/>
  <c r="Z17" i="5" s="1"/>
  <c r="Z18" i="5" a="1"/>
  <c r="Z18" i="5" s="1"/>
  <c r="Z19" i="5" a="1"/>
  <c r="Z19" i="5" s="1"/>
  <c r="Z20" i="5" a="1"/>
  <c r="Z20" i="5" s="1"/>
  <c r="Z21" i="5" a="1"/>
  <c r="Z21" i="5" s="1"/>
  <c r="Z22" i="5" a="1"/>
  <c r="Z22" i="5" s="1"/>
  <c r="Z23" i="5" a="1"/>
  <c r="Z23" i="5" s="1"/>
  <c r="Z24" i="5" a="1"/>
  <c r="Z24" i="5" s="1"/>
  <c r="Z25" i="5" a="1"/>
  <c r="Z25" i="5" s="1"/>
  <c r="Z26" i="5" a="1"/>
  <c r="Z26" i="5" s="1"/>
  <c r="Z27" i="5" a="1"/>
  <c r="Z27" i="5" s="1"/>
  <c r="Z28" i="5" a="1"/>
  <c r="Z28" i="5" s="1"/>
  <c r="Z29" i="5" a="1"/>
  <c r="Z29" i="5" s="1"/>
  <c r="Z30" i="5" a="1"/>
  <c r="Z30" i="5" s="1"/>
  <c r="Z31" i="5" a="1"/>
  <c r="Z31" i="5" s="1"/>
  <c r="Z32" i="5" a="1"/>
  <c r="Z32" i="5" s="1"/>
  <c r="Z33" i="5" a="1"/>
  <c r="Z33" i="5" s="1"/>
  <c r="Z34" i="5" a="1"/>
  <c r="Z34" i="5" s="1"/>
  <c r="Z35" i="5" a="1"/>
  <c r="Z35" i="5" s="1"/>
  <c r="Z36" i="5" a="1"/>
  <c r="Z36" i="5" s="1"/>
  <c r="Z37" i="5" a="1"/>
  <c r="Z37" i="5" s="1"/>
  <c r="Z38" i="5" a="1"/>
  <c r="Z38" i="5" s="1"/>
  <c r="Z39" i="5" a="1"/>
  <c r="Z39" i="5" s="1"/>
  <c r="Z40" i="5" a="1"/>
  <c r="Z40" i="5" s="1"/>
  <c r="Z41" i="5" a="1"/>
  <c r="Z41" i="5" s="1"/>
  <c r="Z42" i="5" a="1"/>
  <c r="Z42" i="5" s="1"/>
  <c r="Z43" i="5" a="1"/>
  <c r="Z43" i="5" s="1"/>
  <c r="Z44" i="5" a="1"/>
  <c r="Z44" i="5" s="1"/>
  <c r="Z45" i="5" a="1"/>
  <c r="Z45" i="5" s="1"/>
  <c r="Z46" i="5" a="1"/>
  <c r="Z46" i="5" s="1"/>
  <c r="Z47" i="5" a="1"/>
  <c r="Z47" i="5" s="1"/>
  <c r="Z48" i="5" a="1"/>
  <c r="Z48" i="5" s="1"/>
  <c r="Z49" i="5" a="1"/>
  <c r="Z49" i="5" s="1"/>
  <c r="Z50" i="5" a="1"/>
  <c r="Z50" i="5" s="1"/>
  <c r="Z51" i="5" a="1"/>
  <c r="Z51" i="5" s="1"/>
  <c r="Z52" i="5" a="1"/>
  <c r="Z52" i="5" s="1"/>
  <c r="Z53" i="5" a="1"/>
  <c r="Z53" i="5" s="1"/>
  <c r="Z54" i="5" a="1"/>
  <c r="Z54" i="5" s="1"/>
  <c r="Z55" i="5" a="1"/>
  <c r="Z55" i="5" s="1"/>
  <c r="Z56" i="5" a="1"/>
  <c r="Z56" i="5" s="1"/>
  <c r="Z57" i="5" a="1"/>
  <c r="Z57" i="5" s="1"/>
  <c r="Z58" i="5" a="1"/>
  <c r="Z58" i="5" s="1"/>
  <c r="Z59" i="5" a="1"/>
  <c r="Z59" i="5" s="1"/>
  <c r="Z60" i="5" a="1"/>
  <c r="Z60" i="5" s="1"/>
  <c r="Z61" i="5" a="1"/>
  <c r="Z61" i="5" s="1"/>
  <c r="Z62" i="5" a="1"/>
  <c r="Z62" i="5" s="1"/>
  <c r="Z63" i="5" a="1"/>
  <c r="Z63" i="5" s="1"/>
  <c r="Z64" i="5" a="1"/>
  <c r="Z64" i="5" s="1"/>
  <c r="Z65" i="5" a="1"/>
  <c r="Z65" i="5" s="1"/>
  <c r="Z66" i="5" a="1"/>
  <c r="Z66" i="5" s="1"/>
  <c r="Z67" i="5" a="1"/>
  <c r="Z67" i="5" s="1"/>
  <c r="Z68" i="5" a="1"/>
  <c r="Z68" i="5" s="1"/>
  <c r="Z69" i="5" a="1"/>
  <c r="Z69" i="5" s="1"/>
  <c r="Z70" i="5" a="1"/>
  <c r="Z70" i="5" s="1"/>
  <c r="Z71" i="5" a="1"/>
  <c r="Z71" i="5" s="1"/>
  <c r="Z72" i="5" a="1"/>
  <c r="Z72" i="5" s="1"/>
  <c r="Z73" i="5" a="1"/>
  <c r="Z73" i="5" s="1"/>
  <c r="Z74" i="5" a="1"/>
  <c r="Z74" i="5" s="1"/>
  <c r="Z75" i="5" a="1"/>
  <c r="Z75" i="5" s="1"/>
  <c r="Z76" i="5" a="1"/>
  <c r="Z76" i="5" s="1"/>
  <c r="Z77" i="5" a="1"/>
  <c r="Z77" i="5" s="1"/>
  <c r="Z78" i="5" a="1"/>
  <c r="Z78" i="5" s="1"/>
  <c r="Z79" i="5" a="1"/>
  <c r="Z79" i="5" s="1"/>
  <c r="Z80" i="5" a="1"/>
  <c r="Z80" i="5" s="1"/>
  <c r="Z81" i="5" a="1"/>
  <c r="Z81" i="5" s="1"/>
  <c r="Z82" i="5" a="1"/>
  <c r="Z82" i="5" s="1"/>
  <c r="Z83" i="5" a="1"/>
  <c r="Z83" i="5" s="1"/>
  <c r="Z84" i="5" a="1"/>
  <c r="Z84" i="5" s="1"/>
  <c r="Z85" i="5" a="1"/>
  <c r="Z85" i="5" s="1"/>
  <c r="Z86" i="5" a="1"/>
  <c r="Z86" i="5" s="1"/>
  <c r="Z87" i="5" a="1"/>
  <c r="Z87" i="5" s="1"/>
  <c r="Z88" i="5" a="1"/>
  <c r="Z88" i="5" s="1"/>
  <c r="Z89" i="5" a="1"/>
  <c r="Z89" i="5" s="1"/>
  <c r="Z90" i="5" a="1"/>
  <c r="Z90" i="5" s="1"/>
  <c r="Z91" i="5" a="1"/>
  <c r="Z91" i="5" s="1"/>
  <c r="Z92" i="5" a="1"/>
  <c r="Z92" i="5" s="1"/>
  <c r="Z93" i="5" a="1"/>
  <c r="Z93" i="5" s="1"/>
  <c r="Z94" i="5" a="1"/>
  <c r="Z94" i="5" s="1"/>
  <c r="Z95" i="5" a="1"/>
  <c r="Z95" i="5" s="1"/>
  <c r="Z96" i="5" a="1"/>
  <c r="Z96" i="5" s="1"/>
  <c r="Z97" i="5" a="1"/>
  <c r="Z97" i="5" s="1"/>
  <c r="Z98" i="5" a="1"/>
  <c r="Z98" i="5" s="1"/>
  <c r="Z99" i="5" a="1"/>
  <c r="Z99" i="5" s="1"/>
  <c r="Z100" i="5" a="1"/>
  <c r="Z100" i="5" s="1"/>
  <c r="Z101" i="5" a="1"/>
  <c r="Z101" i="5" s="1"/>
  <c r="Z102" i="5" a="1"/>
  <c r="Z102" i="5" s="1"/>
  <c r="Z103" i="5" a="1"/>
  <c r="Z103" i="5" s="1"/>
  <c r="Z104" i="5" a="1"/>
  <c r="Z104" i="5" s="1"/>
  <c r="Z105" i="5" a="1"/>
  <c r="Z105" i="5" s="1"/>
  <c r="Z106" i="5" a="1"/>
  <c r="Z106" i="5" s="1"/>
  <c r="Z107" i="5" a="1"/>
  <c r="Z107" i="5" s="1"/>
  <c r="Z108" i="5" a="1"/>
  <c r="Z108" i="5" s="1"/>
  <c r="Z109" i="5" a="1"/>
  <c r="Z109" i="5" s="1"/>
  <c r="Z110" i="5" a="1"/>
  <c r="Z110" i="5" s="1"/>
  <c r="Z111" i="5" a="1"/>
  <c r="Z111" i="5" s="1"/>
  <c r="Z112" i="5" a="1"/>
  <c r="Z112" i="5" s="1"/>
  <c r="Z113" i="5" a="1"/>
  <c r="Z113" i="5" s="1"/>
  <c r="Z114" i="5" a="1"/>
  <c r="Z114" i="5" s="1"/>
  <c r="Z115" i="5" a="1"/>
  <c r="Z115" i="5" s="1"/>
  <c r="Z116" i="5" a="1"/>
  <c r="Z116" i="5" s="1"/>
  <c r="Z117" i="5" a="1"/>
  <c r="Z117" i="5" s="1"/>
  <c r="Z118" i="5" a="1"/>
  <c r="Z118" i="5" s="1"/>
  <c r="Z119" i="5" a="1"/>
  <c r="Z119" i="5" s="1"/>
  <c r="Z120" i="5" a="1"/>
  <c r="Z120" i="5" s="1"/>
  <c r="Z121" i="5" a="1"/>
  <c r="Z121" i="5" s="1"/>
  <c r="Z122" i="5" a="1"/>
  <c r="Z122" i="5" s="1"/>
  <c r="Z123" i="5" a="1"/>
  <c r="Z123" i="5" s="1"/>
  <c r="Z124" i="5" a="1"/>
  <c r="Z124" i="5" s="1"/>
  <c r="Z125" i="5" a="1"/>
  <c r="Z125" i="5" s="1"/>
  <c r="Z126" i="5" a="1"/>
  <c r="Z126" i="5" s="1"/>
  <c r="Z127" i="5" a="1"/>
  <c r="Z127" i="5" s="1"/>
  <c r="Z128" i="5" a="1"/>
  <c r="Z128" i="5" s="1"/>
  <c r="Z129" i="5" a="1"/>
  <c r="Z129" i="5" s="1"/>
  <c r="Z130" i="5" a="1"/>
  <c r="Z130" i="5" s="1"/>
  <c r="Z131" i="5" a="1"/>
  <c r="Z131" i="5" s="1"/>
  <c r="Z132" i="5" a="1"/>
  <c r="Z132" i="5" s="1"/>
  <c r="Z133" i="5" a="1"/>
  <c r="Z133" i="5" s="1"/>
  <c r="Z134" i="5" a="1"/>
  <c r="Z134" i="5" s="1"/>
  <c r="Z135" i="5" a="1"/>
  <c r="Z135" i="5" s="1"/>
  <c r="Z136" i="5" a="1"/>
  <c r="Z136" i="5" s="1"/>
  <c r="Z137" i="5" a="1"/>
  <c r="Z137" i="5" s="1"/>
  <c r="Z138" i="5" a="1"/>
  <c r="Z138" i="5" s="1"/>
  <c r="Z139" i="5" a="1"/>
  <c r="Z139" i="5" s="1"/>
  <c r="Z140" i="5" a="1"/>
  <c r="Z140" i="5" s="1"/>
  <c r="Z141" i="5" a="1"/>
  <c r="Z141" i="5" s="1"/>
  <c r="Z142" i="5" a="1"/>
  <c r="Z142" i="5" s="1"/>
  <c r="Z143" i="5" a="1"/>
  <c r="Z143" i="5" s="1"/>
  <c r="Z144" i="5" a="1"/>
  <c r="Z144" i="5" s="1"/>
  <c r="Z145" i="5" a="1"/>
  <c r="Z145" i="5" s="1"/>
  <c r="Z146" i="5" a="1"/>
  <c r="Z146" i="5" s="1"/>
  <c r="Z147" i="5" a="1"/>
  <c r="Z147" i="5" s="1"/>
  <c r="Z148" i="5" a="1"/>
  <c r="Z148" i="5" s="1"/>
  <c r="Z149" i="5" a="1"/>
  <c r="Z149" i="5" s="1"/>
  <c r="Z150" i="5" a="1"/>
  <c r="Z150" i="5" s="1"/>
  <c r="Z151" i="5" a="1"/>
  <c r="Z151" i="5" s="1"/>
  <c r="Z152" i="5" a="1"/>
  <c r="Z152" i="5" s="1"/>
  <c r="Z153" i="5" a="1"/>
  <c r="Z153" i="5" s="1"/>
  <c r="Z154" i="5" a="1"/>
  <c r="Z154" i="5" s="1"/>
  <c r="Z155" i="5" a="1"/>
  <c r="Z155" i="5" s="1"/>
  <c r="Z156" i="5" a="1"/>
  <c r="Z156" i="5" s="1"/>
  <c r="Z157" i="5" a="1"/>
  <c r="Z157" i="5" s="1"/>
  <c r="Z158" i="5" a="1"/>
  <c r="Z158" i="5" s="1"/>
  <c r="Z159" i="5" a="1"/>
  <c r="Z159" i="5" s="1"/>
  <c r="Z160" i="5" a="1"/>
  <c r="Z160" i="5" s="1"/>
  <c r="Z161" i="5" a="1"/>
  <c r="Z161" i="5" s="1"/>
  <c r="Z162" i="5" a="1"/>
  <c r="Z162" i="5" s="1"/>
  <c r="Z163" i="5" a="1"/>
  <c r="Z163" i="5" s="1"/>
  <c r="Z164" i="5" a="1"/>
  <c r="Z164" i="5" s="1"/>
  <c r="Z165" i="5" a="1"/>
  <c r="Z165" i="5" s="1"/>
  <c r="Z166" i="5" a="1"/>
  <c r="Z166" i="5" s="1"/>
  <c r="Z167" i="5" a="1"/>
  <c r="Z167" i="5" s="1"/>
  <c r="Z168" i="5" a="1"/>
  <c r="Z168" i="5" s="1"/>
  <c r="Z169" i="5" a="1"/>
  <c r="Z169" i="5" s="1"/>
  <c r="Z170" i="5" a="1"/>
  <c r="Z170" i="5" s="1"/>
  <c r="Z171" i="5" a="1"/>
  <c r="Z171" i="5" s="1"/>
  <c r="Z172" i="5" a="1"/>
  <c r="Z172" i="5" s="1"/>
  <c r="Z173" i="5" a="1"/>
  <c r="Z173" i="5" s="1"/>
  <c r="Z174" i="5" a="1"/>
  <c r="Z174" i="5" s="1"/>
  <c r="Z175" i="5" a="1"/>
  <c r="Z175" i="5" s="1"/>
  <c r="Z176" i="5" a="1"/>
  <c r="Z176" i="5" s="1"/>
  <c r="Z177" i="5" a="1"/>
  <c r="Z177" i="5" s="1"/>
  <c r="Z178" i="5" a="1"/>
  <c r="Z178" i="5" s="1"/>
  <c r="Z179" i="5" a="1"/>
  <c r="Z179" i="5" s="1"/>
  <c r="Z180" i="5" a="1"/>
  <c r="Z180" i="5" s="1"/>
  <c r="Z181" i="5" a="1"/>
  <c r="Z181" i="5" s="1"/>
  <c r="Z182" i="5" a="1"/>
  <c r="Z182" i="5" s="1"/>
  <c r="Z183" i="5" a="1"/>
  <c r="Z183" i="5" s="1"/>
  <c r="Z184" i="5" a="1"/>
  <c r="Z184" i="5" s="1"/>
  <c r="Z185" i="5" a="1"/>
  <c r="Z185" i="5" s="1"/>
  <c r="Z186" i="5" a="1"/>
  <c r="Z186" i="5" s="1"/>
  <c r="Z187" i="5" a="1"/>
  <c r="Z187" i="5" s="1"/>
  <c r="Z188" i="5" a="1"/>
  <c r="Z188" i="5" s="1"/>
  <c r="Z189" i="5" a="1"/>
  <c r="Z189" i="5" s="1"/>
  <c r="Z190" i="5" a="1"/>
  <c r="Z190" i="5" s="1"/>
  <c r="Z191" i="5" a="1"/>
  <c r="Z191" i="5" s="1"/>
  <c r="Z192" i="5" a="1"/>
  <c r="Z192" i="5" s="1"/>
  <c r="Z193" i="5" a="1"/>
  <c r="Z193" i="5" s="1"/>
  <c r="Z194" i="5" a="1"/>
  <c r="Z194" i="5" s="1"/>
  <c r="Z195" i="5" a="1"/>
  <c r="Z195" i="5" s="1"/>
  <c r="Z196" i="5" a="1"/>
  <c r="Z196" i="5" s="1"/>
  <c r="Z197" i="5" a="1"/>
  <c r="Z197" i="5" s="1"/>
  <c r="Z198" i="5" a="1"/>
  <c r="Z198" i="5" s="1"/>
  <c r="Z199" i="5" a="1"/>
  <c r="Z199" i="5" s="1"/>
  <c r="Z200" i="5" a="1"/>
  <c r="Z200" i="5" s="1"/>
  <c r="Z201" i="5" a="1"/>
  <c r="Z201" i="5" s="1"/>
  <c r="Z202" i="5" a="1"/>
  <c r="Z202" i="5" s="1"/>
  <c r="Z203" i="5" a="1"/>
  <c r="Z203" i="5" s="1"/>
  <c r="Z204" i="5" a="1"/>
  <c r="Z204" i="5" s="1"/>
  <c r="Z205" i="5" a="1"/>
  <c r="Z205" i="5" s="1"/>
  <c r="Z206" i="5" a="1"/>
  <c r="Z206" i="5" s="1"/>
  <c r="Z207" i="5" a="1"/>
  <c r="Z207" i="5" s="1"/>
  <c r="Z208" i="5" a="1"/>
  <c r="Z208" i="5" s="1"/>
  <c r="Z209" i="5" a="1"/>
  <c r="Z209" i="5" s="1"/>
  <c r="Z210" i="5" a="1"/>
  <c r="Z210" i="5" s="1"/>
  <c r="Z211" i="5" a="1"/>
  <c r="Z211" i="5" s="1"/>
  <c r="Z212" i="5" a="1"/>
  <c r="Z212" i="5" s="1"/>
  <c r="Z213" i="5" a="1"/>
  <c r="Z213" i="5" s="1"/>
  <c r="Z214" i="5" a="1"/>
  <c r="Z214" i="5" s="1"/>
  <c r="Z215" i="5" a="1"/>
  <c r="Z215" i="5" s="1"/>
  <c r="Z216" i="5" a="1"/>
  <c r="Z216" i="5" s="1"/>
  <c r="Z217" i="5" a="1"/>
  <c r="Z217" i="5" s="1"/>
  <c r="Z218" i="5" a="1"/>
  <c r="Z218" i="5" s="1"/>
  <c r="Z219" i="5" a="1"/>
  <c r="Z219" i="5" s="1"/>
  <c r="Z220" i="5" a="1"/>
  <c r="Z220" i="5" s="1"/>
  <c r="Z221" i="5" a="1"/>
  <c r="Z221" i="5" s="1"/>
  <c r="Z222" i="5" a="1"/>
  <c r="Z222" i="5" s="1"/>
  <c r="Z223" i="5" a="1"/>
  <c r="Z223" i="5" s="1"/>
  <c r="Z224" i="5" a="1"/>
  <c r="Z224" i="5" s="1"/>
  <c r="Z225" i="5" a="1"/>
  <c r="Z225" i="5" s="1"/>
  <c r="Z226" i="5" a="1"/>
  <c r="Z226" i="5" s="1"/>
  <c r="Z227" i="5" a="1"/>
  <c r="Z227" i="5" s="1"/>
  <c r="Z228" i="5" a="1"/>
  <c r="Z228" i="5" s="1"/>
  <c r="Z229" i="5" a="1"/>
  <c r="Z229" i="5" s="1"/>
  <c r="Z230" i="5" a="1"/>
  <c r="Z230" i="5" s="1"/>
  <c r="Z231" i="5" a="1"/>
  <c r="Z231" i="5" s="1"/>
  <c r="Z232" i="5" a="1"/>
  <c r="Z232" i="5" s="1"/>
  <c r="Z233" i="5" a="1"/>
  <c r="Z233" i="5" s="1"/>
  <c r="Z234" i="5" a="1"/>
  <c r="Z234" i="5" s="1"/>
  <c r="Z235" i="5" a="1"/>
  <c r="Z235" i="5" s="1"/>
  <c r="Z236" i="5" a="1"/>
  <c r="Z236" i="5" s="1"/>
  <c r="Z237" i="5" a="1"/>
  <c r="Z237" i="5" s="1"/>
  <c r="Z238" i="5" a="1"/>
  <c r="Z238" i="5" s="1"/>
  <c r="Z239" i="5" a="1"/>
  <c r="Z239" i="5" s="1"/>
  <c r="Z240" i="5" a="1"/>
  <c r="Z240" i="5" s="1"/>
  <c r="Z241" i="5" a="1"/>
  <c r="Z241" i="5" s="1"/>
  <c r="Z242" i="5" a="1"/>
  <c r="Z242" i="5" s="1"/>
  <c r="Z243" i="5" a="1"/>
  <c r="Z243" i="5" s="1"/>
  <c r="Z244" i="5" a="1"/>
  <c r="Z244" i="5" s="1"/>
  <c r="Z245" i="5" a="1"/>
  <c r="Z245" i="5" s="1"/>
  <c r="Z246" i="5" a="1"/>
  <c r="Z246" i="5" s="1"/>
  <c r="Z247" i="5" a="1"/>
  <c r="Z247" i="5" s="1"/>
  <c r="Z248" i="5" a="1"/>
  <c r="Z248" i="5" s="1"/>
  <c r="Z249" i="5" a="1"/>
  <c r="Z249" i="5" s="1"/>
  <c r="Z250" i="5" a="1"/>
  <c r="Z250" i="5" s="1"/>
  <c r="Z251" i="5" a="1"/>
  <c r="Z251" i="5" s="1"/>
  <c r="Z252" i="5" a="1"/>
  <c r="Z252" i="5" s="1"/>
  <c r="Z253" i="5" a="1"/>
  <c r="Z253" i="5" s="1"/>
  <c r="Z254" i="5" a="1"/>
  <c r="Z254" i="5" s="1"/>
  <c r="Z255" i="5" a="1"/>
  <c r="Z255" i="5" s="1"/>
  <c r="Z256" i="5" a="1"/>
  <c r="Z256" i="5" s="1"/>
  <c r="Z257" i="5" a="1"/>
  <c r="Z257" i="5" s="1"/>
  <c r="Z258" i="5" a="1"/>
  <c r="Z258" i="5" s="1"/>
  <c r="Z259" i="5" a="1"/>
  <c r="Z259" i="5" s="1"/>
  <c r="Z260" i="5" a="1"/>
  <c r="Z260" i="5" s="1"/>
  <c r="Z261" i="5" a="1"/>
  <c r="Z261" i="5" s="1"/>
  <c r="Z2" i="5" a="1"/>
  <c r="Z2" i="5" s="1"/>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A8A943-BA7B-4A94-B638-81228A7BA29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5548BFE-C988-469E-B024-0061713345FB}" name="WorksheetConnection_menu (2)!$A$1:$Z$261" type="102" refreshedVersion="8" minRefreshableVersion="5">
    <extLst>
      <ext xmlns:x15="http://schemas.microsoft.com/office/spreadsheetml/2010/11/main" uri="{DE250136-89BD-433C-8126-D09CA5730AF9}">
        <x15:connection id="Range 1" autoDelete="1">
          <x15:rangePr sourceName="_xlcn.WorksheetConnection_menu2A1Z2611"/>
        </x15:connection>
      </ext>
    </extLst>
  </connection>
  <connection id="3" xr16:uid="{4C2BF5E1-2FEE-4A29-A62C-2F2109BE7591}" name="WorksheetConnection_menu!$A$1:$X$261" type="102" refreshedVersion="8" minRefreshableVersion="5">
    <extLst>
      <ext xmlns:x15="http://schemas.microsoft.com/office/spreadsheetml/2010/11/main" uri="{DE250136-89BD-433C-8126-D09CA5730AF9}">
        <x15:connection id="Range" autoDelete="1">
          <x15:rangePr sourceName="_xlcn.WorksheetConnection_menuA1X261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2">
    <s v="ThisWorkbookDataModel"/>
    <s v="{[Range 1].[FatCaloriesPercent].[All]}"/>
  </metadataStrings>
  <mdxMetadata count="1">
    <mdx n="0" f="s">
      <ms ns="1" c="0"/>
    </mdx>
  </mdxMetadata>
  <futureMetadata name="XLDAPR" count="1">
    <bk>
      <extLst>
        <ext uri="{bdbb8cdc-fa1e-496e-a857-3c3f30c029c3}">
          <xda:dynamicArrayProperties fDynamic="1" fCollapsed="0"/>
        </ext>
      </extLst>
    </bk>
  </futureMetadata>
  <cellMetadata count="1">
    <bk>
      <rc t="1" v="0"/>
    </bk>
  </cellMetadata>
  <valueMetadata count="1">
    <bk>
      <rc t="2" v="0"/>
    </bk>
  </valueMetadata>
</metadata>
</file>

<file path=xl/sharedStrings.xml><?xml version="1.0" encoding="utf-8"?>
<sst xmlns="http://schemas.openxmlformats.org/spreadsheetml/2006/main" count="2880" uniqueCount="454">
  <si>
    <t>Category</t>
  </si>
  <si>
    <t>Item</t>
  </si>
  <si>
    <t>Serving Size</t>
  </si>
  <si>
    <t>Calories</t>
  </si>
  <si>
    <t>Calories from Fat</t>
  </si>
  <si>
    <t>Total Fat</t>
  </si>
  <si>
    <t>Total Fat (% Daily Value)</t>
  </si>
  <si>
    <t>Saturated Fat</t>
  </si>
  <si>
    <t>Saturated Fat (% Daily Value)</t>
  </si>
  <si>
    <t>Trans Fat</t>
  </si>
  <si>
    <t>Cholesterol</t>
  </si>
  <si>
    <t>Cholesterol (% Daily Value)</t>
  </si>
  <si>
    <t>Sodium</t>
  </si>
  <si>
    <t>Sodium (% Daily Value)</t>
  </si>
  <si>
    <t>Carbohydrates</t>
  </si>
  <si>
    <t>Carbohydrates (% Daily Value)</t>
  </si>
  <si>
    <t>Dietary Fiber</t>
  </si>
  <si>
    <t>Dietary Fiber (% Daily Value)</t>
  </si>
  <si>
    <t>Sugars</t>
  </si>
  <si>
    <t>Protein</t>
  </si>
  <si>
    <t>Vitamin A (% Daily Value)</t>
  </si>
  <si>
    <t>Vitamin C (% Daily Value)</t>
  </si>
  <si>
    <t>Calcium (% Daily Value)</t>
  </si>
  <si>
    <t>Iron (% Daily Value)</t>
  </si>
  <si>
    <t>Breakfast</t>
  </si>
  <si>
    <t>Egg McMuffin</t>
  </si>
  <si>
    <t>4.8 oz (136 g)</t>
  </si>
  <si>
    <t>Egg White Delight</t>
  </si>
  <si>
    <t>4.8 oz (135 g)</t>
  </si>
  <si>
    <t>Sausage McMuffin</t>
  </si>
  <si>
    <t>3.9 oz (111 g)</t>
  </si>
  <si>
    <t>Sausage McMuffin with Egg</t>
  </si>
  <si>
    <t>5.7 oz (161 g)</t>
  </si>
  <si>
    <t>Sausage McMuffin with Egg Whites</t>
  </si>
  <si>
    <t>Steak &amp; Egg McMuffin</t>
  </si>
  <si>
    <t>6.5 oz (185 g)</t>
  </si>
  <si>
    <t>Bacon, Egg &amp; Cheese Biscuit (Regular Biscuit)</t>
  </si>
  <si>
    <t>5.3 oz (150 g)</t>
  </si>
  <si>
    <t>Bacon, Egg &amp; Cheese Biscuit (Large Biscuit)</t>
  </si>
  <si>
    <t>5.8 oz (164 g)</t>
  </si>
  <si>
    <t>Bacon, Egg &amp; Cheese Biscuit with Egg Whites (Regular Biscuit)</t>
  </si>
  <si>
    <t>5.4 oz (153 g)</t>
  </si>
  <si>
    <t>Bacon, Egg &amp; Cheese Biscuit with Egg Whites (Large Biscuit)</t>
  </si>
  <si>
    <t>5.9 oz (167 g)</t>
  </si>
  <si>
    <t>Sausage Biscuit (Regular Biscuit)</t>
  </si>
  <si>
    <t>4.1 oz (117 g)</t>
  </si>
  <si>
    <t>Sausage Biscuit (Large Biscuit)</t>
  </si>
  <si>
    <t>4.6 oz (131 g)</t>
  </si>
  <si>
    <t>Sausage Biscuit with Egg (Regular Biscuit)</t>
  </si>
  <si>
    <t>5.7 oz (163 g)</t>
  </si>
  <si>
    <t>Sausage Biscuit with Egg (Large Biscuit)</t>
  </si>
  <si>
    <t>6.2 oz (177 g)</t>
  </si>
  <si>
    <t>Sausage Biscuit with Egg Whites (Regular Biscuit)</t>
  </si>
  <si>
    <t>Sausage Biscuit with Egg Whites (Large Biscuit)</t>
  </si>
  <si>
    <t>6.4 oz (181 g)</t>
  </si>
  <si>
    <t>Southern Style Chicken Biscuit (Regular Biscuit)</t>
  </si>
  <si>
    <t>5 oz (143 g)</t>
  </si>
  <si>
    <t>Southern Style Chicken Biscuit (Large Biscuit)</t>
  </si>
  <si>
    <t>5.5 oz (157 g)</t>
  </si>
  <si>
    <t>Steak &amp; Egg Biscuit (Regular Biscuit)</t>
  </si>
  <si>
    <t>7.1 oz (201 g)</t>
  </si>
  <si>
    <t>Bacon, Egg &amp; Cheese McGriddles</t>
  </si>
  <si>
    <t>6.1 oz (174 g)</t>
  </si>
  <si>
    <t>Bacon, Egg &amp; Cheese McGriddles with Egg Whites</t>
  </si>
  <si>
    <t>6.3 oz (178 g)</t>
  </si>
  <si>
    <t>Sausage McGriddles</t>
  </si>
  <si>
    <t>5 oz (141 g)</t>
  </si>
  <si>
    <t>Sausage, Egg &amp; Cheese McGriddles</t>
  </si>
  <si>
    <t>Sausage, Egg &amp; Cheese McGriddles with Egg Whites</t>
  </si>
  <si>
    <t>7.2 oz (205 g)</t>
  </si>
  <si>
    <t>Bacon, Egg &amp; Cheese Bagel</t>
  </si>
  <si>
    <t>6.9 oz (197 g)</t>
  </si>
  <si>
    <t>Bacon, Egg &amp; Cheese Bagel with Egg Whites</t>
  </si>
  <si>
    <t>Steak, Egg &amp; Cheese Bagel</t>
  </si>
  <si>
    <t>8.5 oz (241 g)</t>
  </si>
  <si>
    <t>Big Breakfast (Regular Biscuit)</t>
  </si>
  <si>
    <t>9.5 oz (269 g)</t>
  </si>
  <si>
    <t>Big Breakfast (Large Biscuit)</t>
  </si>
  <si>
    <t>10 oz (283 g)</t>
  </si>
  <si>
    <t>Big Breakfast with Egg Whites (Regular Biscuit)</t>
  </si>
  <si>
    <t>9.6 oz (272 g)</t>
  </si>
  <si>
    <t>Big Breakfast with Egg Whites (Large Biscuit)</t>
  </si>
  <si>
    <t>10.1 oz (286 g)</t>
  </si>
  <si>
    <t>Big Breakfast with Hotcakes (Regular Biscuit)</t>
  </si>
  <si>
    <t>14.8 oz (420 g)</t>
  </si>
  <si>
    <t>Big Breakfast with Hotcakes (Large Biscuit)</t>
  </si>
  <si>
    <t>15.3 oz (434 g)</t>
  </si>
  <si>
    <t>Big Breakfast with Hotcakes and Egg Whites (Regular Biscuit)</t>
  </si>
  <si>
    <t>14.9 oz (423 g)</t>
  </si>
  <si>
    <t>Big Breakfast with Hotcakes and Egg Whites (Large Biscuit)</t>
  </si>
  <si>
    <t>15.4 oz (437 g)</t>
  </si>
  <si>
    <t>Hotcakes</t>
  </si>
  <si>
    <t>5.3 oz (151 g)</t>
  </si>
  <si>
    <t>Hotcakes and Sausage</t>
  </si>
  <si>
    <t>6.8 oz (192 g)</t>
  </si>
  <si>
    <t>Sausage Burrito</t>
  </si>
  <si>
    <t>Hash Brown</t>
  </si>
  <si>
    <t>2 oz (56 g)</t>
  </si>
  <si>
    <t>Cinnamon Melts</t>
  </si>
  <si>
    <t>4 oz (114 g)</t>
  </si>
  <si>
    <t>Fruit &amp; Maple Oatmeal</t>
  </si>
  <si>
    <t>9.6 oz (251 g)</t>
  </si>
  <si>
    <t>Fruit &amp; Maple Oatmeal without Brown Sugar</t>
  </si>
  <si>
    <t>Beef &amp; Pork</t>
  </si>
  <si>
    <t>Big Mac</t>
  </si>
  <si>
    <t>7.4 oz (211 g)</t>
  </si>
  <si>
    <t>Quarter Pounder with Cheese</t>
  </si>
  <si>
    <t>7.1 oz (202 g)</t>
  </si>
  <si>
    <t>Quarter Pounder with Bacon &amp; Cheese</t>
  </si>
  <si>
    <t>8 oz (227 g)</t>
  </si>
  <si>
    <t>Quarter Pounder with Bacon Habanero Ranch</t>
  </si>
  <si>
    <t>8.3 oz (235 g)</t>
  </si>
  <si>
    <t>Quarter Pounder Deluxe</t>
  </si>
  <si>
    <t>8.6 oz (244 g)</t>
  </si>
  <si>
    <t>Double Quarter Pounder with Cheese</t>
  </si>
  <si>
    <t>Hamburger</t>
  </si>
  <si>
    <t>3.5 oz (98 g)</t>
  </si>
  <si>
    <t>Cheeseburger</t>
  </si>
  <si>
    <t>4 oz (113 g)</t>
  </si>
  <si>
    <t>Double Cheeseburger</t>
  </si>
  <si>
    <t>Bacon Clubhouse Burger</t>
  </si>
  <si>
    <t>9.5 oz (270 g)</t>
  </si>
  <si>
    <t>McDouble</t>
  </si>
  <si>
    <t>5.2 oz (147 g)</t>
  </si>
  <si>
    <t>Bacon McDouble</t>
  </si>
  <si>
    <t>Daily Double</t>
  </si>
  <si>
    <t>6.7 oz (190 g)</t>
  </si>
  <si>
    <t>JalapeÃ±o Double</t>
  </si>
  <si>
    <t>5.6 oz (159 g)</t>
  </si>
  <si>
    <t>McRib</t>
  </si>
  <si>
    <t>7.3 oz (208 g)</t>
  </si>
  <si>
    <t>Chicken &amp; Fish</t>
  </si>
  <si>
    <t>Premium Crispy Chicken Classic Sandwich</t>
  </si>
  <si>
    <t>7.5 oz (213 g)</t>
  </si>
  <si>
    <t>Premium Grilled Chicken Classic Sandwich</t>
  </si>
  <si>
    <t>7 oz (200 g)</t>
  </si>
  <si>
    <t>Premium Crispy Chicken Club Sandwich</t>
  </si>
  <si>
    <t>8.8 oz (249 g)</t>
  </si>
  <si>
    <t>Premium Grilled Chicken Club Sandwich</t>
  </si>
  <si>
    <t>Premium Crispy Chicken Ranch BLT Sandwich</t>
  </si>
  <si>
    <t>8.1 oz (230 g)</t>
  </si>
  <si>
    <t>Premium Grilled Chicken Ranch BLT Sandwich</t>
  </si>
  <si>
    <t>7.6 oz (217 g)</t>
  </si>
  <si>
    <t>Bacon Clubhouse Crispy Chicken Sandwich</t>
  </si>
  <si>
    <t>10 oz (284 g)</t>
  </si>
  <si>
    <t>Bacon Clubhouse Grilled Chicken Sandwich</t>
  </si>
  <si>
    <t>Southern Style Crispy Chicken Sandwich</t>
  </si>
  <si>
    <t>5.6 oz (160 g)</t>
  </si>
  <si>
    <t>McChicken</t>
  </si>
  <si>
    <t>5.1 oz (143 g)</t>
  </si>
  <si>
    <t>Bacon Cheddar McChicken</t>
  </si>
  <si>
    <t>6 oz (171 g)</t>
  </si>
  <si>
    <t>Bacon Buffalo Ranch McChicken</t>
  </si>
  <si>
    <t>Buffalo Ranch McChicken</t>
  </si>
  <si>
    <t>5.2 oz (148 g)</t>
  </si>
  <si>
    <t>Premium McWrap Chicken &amp; Bacon (Crispy Chicken)</t>
  </si>
  <si>
    <t>11.1 oz (316 g)</t>
  </si>
  <si>
    <t>Premium McWrap Chicken &amp; Bacon (Grilled Chicken)</t>
  </si>
  <si>
    <t>10.7 oz (302 g)</t>
  </si>
  <si>
    <t>Premium McWrap Chicken &amp; Ranch (Crispy Chicken)</t>
  </si>
  <si>
    <t>10.9 oz (310 g)</t>
  </si>
  <si>
    <t>Premium McWrap Chicken &amp; Ranch (Grilled Chicken)</t>
  </si>
  <si>
    <t>10.5 oz (297 g)</t>
  </si>
  <si>
    <t>Premium McWrap Southwest Chicken (Crispy Chicken)</t>
  </si>
  <si>
    <t>11.1 oz (314 g)</t>
  </si>
  <si>
    <t>Premium McWrap Southwest Chicken (Grilled Chicken)</t>
  </si>
  <si>
    <t>11.2 oz (318 g)</t>
  </si>
  <si>
    <t>Premium McWrap Chicken Sweet Chili (Crispy Chicken)</t>
  </si>
  <si>
    <t>10.7 oz (304 g)</t>
  </si>
  <si>
    <t>Premium McWrap Chicken Sweet Chili (Grilled Chicken)</t>
  </si>
  <si>
    <t>10.3 oz (291 g)</t>
  </si>
  <si>
    <t>Chicken McNuggets (4 piece)</t>
  </si>
  <si>
    <t>2.3 oz (65 g)</t>
  </si>
  <si>
    <t>Chicken McNuggets (6 piece)</t>
  </si>
  <si>
    <t>3.4 oz (97 g)</t>
  </si>
  <si>
    <t>Chicken McNuggets (10 piece)</t>
  </si>
  <si>
    <t>5.7 oz (162 g)</t>
  </si>
  <si>
    <t>Chicken McNuggets (20 piece)</t>
  </si>
  <si>
    <t>11.4 oz (323 g)</t>
  </si>
  <si>
    <t>Chicken McNuggets (40 piece)</t>
  </si>
  <si>
    <t>22.8 oz (646 g)</t>
  </si>
  <si>
    <t>Filet-O-Fish</t>
  </si>
  <si>
    <t>5 oz (142 g)</t>
  </si>
  <si>
    <t>Salads</t>
  </si>
  <si>
    <t>Premium Bacon Ranch Salad (without Chicken)</t>
  </si>
  <si>
    <t>7.9 oz (223 g)</t>
  </si>
  <si>
    <t>Premium Bacon Ranch Salad with Crispy Chicken</t>
  </si>
  <si>
    <t>9 oz (255 g)</t>
  </si>
  <si>
    <t>Premium Bacon Ranch Salad with Grilled Chicken</t>
  </si>
  <si>
    <t>Premium Southwest Salad (without Chicken)</t>
  </si>
  <si>
    <t>Premium Southwest Salad with Crispy Chicken</t>
  </si>
  <si>
    <t>12.3 oz (348 g)</t>
  </si>
  <si>
    <t>Premium Southwest Salad with Grilled Chicken</t>
  </si>
  <si>
    <t>11.8 oz (335 g)</t>
  </si>
  <si>
    <t>Snacks &amp; Sides</t>
  </si>
  <si>
    <t>Chipotle BBQ Snack Wrap (Crispy Chicken)</t>
  </si>
  <si>
    <t>4.6 oz (130 g)</t>
  </si>
  <si>
    <t>Chipotle BBQ Snack Wrap (Grilled Chicken)</t>
  </si>
  <si>
    <t>4.3 oz (123 g)</t>
  </si>
  <si>
    <t>Honey Mustard Snack Wrap (Crispy Chicken)</t>
  </si>
  <si>
    <t>Honey Mustard Snack Wrap (Grilled Chicken)</t>
  </si>
  <si>
    <t>4.1 oz (116 g)</t>
  </si>
  <si>
    <t>Ranch Snack Wrap (Crispy Chicken)</t>
  </si>
  <si>
    <t>4.5 oz (128 g)</t>
  </si>
  <si>
    <t>Ranch Snack Wrap (Grilled Chicken)</t>
  </si>
  <si>
    <t>4.3 oz (121 g)</t>
  </si>
  <si>
    <t>Small French Fries</t>
  </si>
  <si>
    <t>2.6 oz (75 g)</t>
  </si>
  <si>
    <t>Medium French Fries</t>
  </si>
  <si>
    <t>Large French Fries</t>
  </si>
  <si>
    <t>5.9 oz (168 g)</t>
  </si>
  <si>
    <t>Kids French Fries</t>
  </si>
  <si>
    <t>1.3 oz (38 g)</t>
  </si>
  <si>
    <t>Side Salad</t>
  </si>
  <si>
    <t>3.1 oz (87 g)</t>
  </si>
  <si>
    <t>Apple Slices</t>
  </si>
  <si>
    <t>1.2 oz (34 g)</t>
  </si>
  <si>
    <t>Fruit 'n Yogurt Parfait</t>
  </si>
  <si>
    <t>5.2 oz (149 g)</t>
  </si>
  <si>
    <t>Desserts</t>
  </si>
  <si>
    <t>Baked Apple Pie</t>
  </si>
  <si>
    <t>2.7 oz (77 g)</t>
  </si>
  <si>
    <t>Chocolate Chip Cookie</t>
  </si>
  <si>
    <t>1 cookie (33 g)</t>
  </si>
  <si>
    <t>Oatmeal Raisin Cookie</t>
  </si>
  <si>
    <t>Kids Ice Cream Cone</t>
  </si>
  <si>
    <t>1 oz (29 g)</t>
  </si>
  <si>
    <t>Hot Fudge Sundae</t>
  </si>
  <si>
    <t>6.3 oz (179 g)</t>
  </si>
  <si>
    <t>Hot Caramel Sundae</t>
  </si>
  <si>
    <t>6.4 oz (182 g)</t>
  </si>
  <si>
    <t>Strawberry Sundae</t>
  </si>
  <si>
    <t>Beverages</t>
  </si>
  <si>
    <t>Coca-Cola Classic (Small)</t>
  </si>
  <si>
    <t>16 fl oz cup</t>
  </si>
  <si>
    <t>Coca-Cola Classic (Medium)</t>
  </si>
  <si>
    <t>21 fl oz cup</t>
  </si>
  <si>
    <t>Coca-Cola Classic (Large)</t>
  </si>
  <si>
    <t>30 fl oz cup</t>
  </si>
  <si>
    <t>Coca-Cola Classic (Child)</t>
  </si>
  <si>
    <t>12 fl oz cup</t>
  </si>
  <si>
    <t>Diet Coke (Small)</t>
  </si>
  <si>
    <t>Diet Coke (Medium)</t>
  </si>
  <si>
    <t>Diet Coke (Large)</t>
  </si>
  <si>
    <t>Diet Coke (Child)</t>
  </si>
  <si>
    <t>Dr Pepper (Small)</t>
  </si>
  <si>
    <t>Dr Pepper (Medium)</t>
  </si>
  <si>
    <t>Dr Pepper (Large)</t>
  </si>
  <si>
    <t>Dr Pepper (Child)</t>
  </si>
  <si>
    <t>Diet Dr Pepper (Small)</t>
  </si>
  <si>
    <t>Diet Dr Pepper (Medium)</t>
  </si>
  <si>
    <t>Diet Dr Pepper (Large)</t>
  </si>
  <si>
    <t>Diet Dr Pepper (Child)</t>
  </si>
  <si>
    <t>Sprite (Small)</t>
  </si>
  <si>
    <t>Sprite (Medium)</t>
  </si>
  <si>
    <t>Sprite (Large)</t>
  </si>
  <si>
    <t>Sprite (Child)</t>
  </si>
  <si>
    <t>1% Low Fat Milk Jug</t>
  </si>
  <si>
    <t>1 carton (236 ml)</t>
  </si>
  <si>
    <t>Fat Free Chocolate Milk Jug</t>
  </si>
  <si>
    <t>Minute Maid 100% Apple Juice Box</t>
  </si>
  <si>
    <t>6 fl oz (177 ml)</t>
  </si>
  <si>
    <t>Minute Maid Orange Juice (Small)</t>
  </si>
  <si>
    <t>Minute Maid Orange Juice (Medium)</t>
  </si>
  <si>
    <t>Minute Maid Orange Juice (Large)</t>
  </si>
  <si>
    <t>22 fl oz cup</t>
  </si>
  <si>
    <t>Dasani Water Bottle</t>
  </si>
  <si>
    <t>16.9 fl oz</t>
  </si>
  <si>
    <t>Coffee &amp; Tea</t>
  </si>
  <si>
    <t>Iced Tea (Small)</t>
  </si>
  <si>
    <t>Iced Tea (Medium)</t>
  </si>
  <si>
    <t>Iced Tea (Large)</t>
  </si>
  <si>
    <t>Iced Tea (Child)</t>
  </si>
  <si>
    <t>Sweet Tea (Small)</t>
  </si>
  <si>
    <t>Sweet Tea (Medium)</t>
  </si>
  <si>
    <t>Sweet Tea (Large)</t>
  </si>
  <si>
    <t>Sweet Tea (Child)</t>
  </si>
  <si>
    <t>Coffee (Small)</t>
  </si>
  <si>
    <t>Coffee (Medium)</t>
  </si>
  <si>
    <t>Coffee (Large)</t>
  </si>
  <si>
    <t>Latte (Small)</t>
  </si>
  <si>
    <t>Latte (Medium)</t>
  </si>
  <si>
    <t>Latte (Large)</t>
  </si>
  <si>
    <t>20 fl oz cup</t>
  </si>
  <si>
    <t>Caramel Latte (Small)</t>
  </si>
  <si>
    <t>Caramel Latte (Medium)</t>
  </si>
  <si>
    <t>Caramel Latte (Large)</t>
  </si>
  <si>
    <t>Hazelnut Latte (Small)</t>
  </si>
  <si>
    <t>Hazelnut Latte (Medium)</t>
  </si>
  <si>
    <t>Hazelnut Latte (Large)</t>
  </si>
  <si>
    <t>French Vanilla Latte (Small)</t>
  </si>
  <si>
    <t>French Vanilla Latte (Medium)</t>
  </si>
  <si>
    <t>French Vanilla Latte (Large)</t>
  </si>
  <si>
    <t>Latte with Sugar Free French Vanilla Syrup (Small)</t>
  </si>
  <si>
    <t>Latte with Sugar Free French Vanilla Syrup (Medium)</t>
  </si>
  <si>
    <t>Latte with Sugar Free French Vanilla Syrup (Large)</t>
  </si>
  <si>
    <t>Nonfat Latte (Small)</t>
  </si>
  <si>
    <t>Nonfat Latte (Medium)</t>
  </si>
  <si>
    <t>Nonfat Latte (Large)</t>
  </si>
  <si>
    <t>Nonfat Caramel Latte (Small)</t>
  </si>
  <si>
    <t>Nonfat Caramel Latte (Medium)</t>
  </si>
  <si>
    <t>Nonfat Caramel Latte (Large)</t>
  </si>
  <si>
    <t>Nonfat Hazelnut Latte (Small)</t>
  </si>
  <si>
    <t>Nonfat Hazelnut Latte (Medium)</t>
  </si>
  <si>
    <t>Nonfat Hazelnut Latte (Large)</t>
  </si>
  <si>
    <t>Nonfat French Vanilla Latte (Small)</t>
  </si>
  <si>
    <t>Nonfat French Vanilla Latte (Medium)</t>
  </si>
  <si>
    <t>Nonfat French Vanilla Latte (Large)</t>
  </si>
  <si>
    <t>Nonfat Latte with Sugar Free French Vanilla Syrup (Small)</t>
  </si>
  <si>
    <t>Nonfat Latte with Sugar Free French Vanilla Syrup (Medium)</t>
  </si>
  <si>
    <t>Nonfat Latte with Sugar Free French Vanilla Syrup (Large)</t>
  </si>
  <si>
    <t>Mocha (Small)</t>
  </si>
  <si>
    <t>Mocha (Medium)</t>
  </si>
  <si>
    <t>Mocha (Large)</t>
  </si>
  <si>
    <t>Mocha with Nonfat Milk (Small)</t>
  </si>
  <si>
    <t>Mocha with Nonfat Milk (Medium)</t>
  </si>
  <si>
    <t>Mocha with Nonfat Milk (Large)</t>
  </si>
  <si>
    <t>Caramel Mocha (Small)</t>
  </si>
  <si>
    <t>Caramel Mocha (Medium)</t>
  </si>
  <si>
    <t>Caramel Mocha (Large)</t>
  </si>
  <si>
    <t>Nonfat Caramel Mocha (Small)</t>
  </si>
  <si>
    <t>Nonfat Caramel Mocha (Medium)</t>
  </si>
  <si>
    <t>Nonfat Caramel Mocha (Large)</t>
  </si>
  <si>
    <t>Hot Chocolate (Small)</t>
  </si>
  <si>
    <t>Hot Chocolate (Medium)</t>
  </si>
  <si>
    <t>Hot Chocolate (Large)</t>
  </si>
  <si>
    <t>Hot Chocolate with Nonfat Milk (Small)</t>
  </si>
  <si>
    <t>Hot Chocolate with Nonfat Milk (Medium)</t>
  </si>
  <si>
    <t>Hot Chocolate with Nonfat Milk (Large)</t>
  </si>
  <si>
    <t>Regular Iced Coffee (Small)</t>
  </si>
  <si>
    <t>Regular Iced Coffee (Medium)</t>
  </si>
  <si>
    <t>Regular Iced Coffee (Large)</t>
  </si>
  <si>
    <t>32 fl oz cup</t>
  </si>
  <si>
    <t>Caramel Iced Coffee (Small)</t>
  </si>
  <si>
    <t>Caramel Iced Coffee (Medium)</t>
  </si>
  <si>
    <t>Caramel Iced Coffee (Large)</t>
  </si>
  <si>
    <t>Hazelnut Iced Coffee (Small)</t>
  </si>
  <si>
    <t>Hazelnut Iced Coffee (Medium)</t>
  </si>
  <si>
    <t>Hazelnut Iced Coffee (Large)</t>
  </si>
  <si>
    <t>French Vanilla Iced Coffee (Small)</t>
  </si>
  <si>
    <t>French Vanilla Iced Coffee (Medium)</t>
  </si>
  <si>
    <t>French Vanilla Iced Coffee (Large)</t>
  </si>
  <si>
    <t>Iced Coffee with Sugar Free French Vanilla Syrup (Small)</t>
  </si>
  <si>
    <t>Iced Coffee with Sugar Free French Vanilla Syrup (Medium)</t>
  </si>
  <si>
    <t>Iced Coffee with Sugar Free French Vanilla Syrup (Large)</t>
  </si>
  <si>
    <t>Iced Mocha (Small)</t>
  </si>
  <si>
    <t>Iced Mocha (Medium)</t>
  </si>
  <si>
    <t>Iced Mocha (Large)</t>
  </si>
  <si>
    <t>Iced Mocha with Nonfat Milk (Small)</t>
  </si>
  <si>
    <t>Iced Mocha with Nonfat Milk (Medium)</t>
  </si>
  <si>
    <t>Iced Mocha with Nonfat Milk (Large)</t>
  </si>
  <si>
    <t>Iced Caramel Mocha (Small)</t>
  </si>
  <si>
    <t>Iced Caramel Mocha (Medium)</t>
  </si>
  <si>
    <t>Iced Caramel Mocha (Large)</t>
  </si>
  <si>
    <t>Iced Nonfat Caramel Mocha (Small)</t>
  </si>
  <si>
    <t>Iced Nonfat Caramel Mocha (Medium)</t>
  </si>
  <si>
    <t>Iced Nonfat Caramel Mocha (Large)</t>
  </si>
  <si>
    <t>FrappÃ© Mocha (Small)</t>
  </si>
  <si>
    <t>FrappÃ© Mocha (Medium)</t>
  </si>
  <si>
    <t>FrappÃ© Mocha (Large)</t>
  </si>
  <si>
    <t>FrappÃ© Caramel (Small)</t>
  </si>
  <si>
    <t>FrappÃ© Caramel (Medium)</t>
  </si>
  <si>
    <t>FrappÃ© Caramel (Large)</t>
  </si>
  <si>
    <t>FrappÃ© Chocolate Chip (Small)</t>
  </si>
  <si>
    <t>FrappÃ© Chocolate Chip (Medium)</t>
  </si>
  <si>
    <t>FrappÃ© Chocolate Chip (Large)</t>
  </si>
  <si>
    <t>Smoothies &amp; Shakes</t>
  </si>
  <si>
    <t>Blueberry Pomegranate Smoothie (Small)</t>
  </si>
  <si>
    <t>Blueberry Pomegranate Smoothie (Medium)</t>
  </si>
  <si>
    <t>Blueberry Pomegranate Smoothie (Large)</t>
  </si>
  <si>
    <t>Strawberry Banana Smoothie (Small)</t>
  </si>
  <si>
    <t>Strawberry Banana Smoothie (Medium)</t>
  </si>
  <si>
    <t>Strawberry Banana Smoothie (Large)</t>
  </si>
  <si>
    <t>Mango Pineapple Smoothie (Small)</t>
  </si>
  <si>
    <t>Mango Pineapple Smoothie (Medium)</t>
  </si>
  <si>
    <t>Mango Pineapple Smoothie (Large)</t>
  </si>
  <si>
    <t>Vanilla Shake (Small)</t>
  </si>
  <si>
    <t>Vanilla Shake (Medium)</t>
  </si>
  <si>
    <t>Vanilla Shake (Large)</t>
  </si>
  <si>
    <t>Strawberry Shake (Small)</t>
  </si>
  <si>
    <t>Strawberry Shake (Medium)</t>
  </si>
  <si>
    <t>Strawberry Shake (Large)</t>
  </si>
  <si>
    <t>Chocolate Shake (Small)</t>
  </si>
  <si>
    <t>Chocolate Shake (Medium)</t>
  </si>
  <si>
    <t>Chocolate Shake (Large)</t>
  </si>
  <si>
    <t>Shamrock Shake (Medium)</t>
  </si>
  <si>
    <t>Shamrock Shake (Large)</t>
  </si>
  <si>
    <t>McFlurry with M&amp;Mâ€™s Candies (Small)</t>
  </si>
  <si>
    <t>McFlurry with M&amp;Mâ€™s Candies (Medium)</t>
  </si>
  <si>
    <t>16.2 oz (460 g)</t>
  </si>
  <si>
    <t>McFlurry with M&amp;Mâ€™s Candies (Snack)</t>
  </si>
  <si>
    <t>7.3 oz (207 g)</t>
  </si>
  <si>
    <t>McFlurry with Oreo Cookies (Small)</t>
  </si>
  <si>
    <t>10.1 oz (285 g)</t>
  </si>
  <si>
    <t>McFlurry with Oreo Cookies (Medium)</t>
  </si>
  <si>
    <t>13.4 oz (381 g)</t>
  </si>
  <si>
    <t>McFlurry with Oreo Cookies (Snack)</t>
  </si>
  <si>
    <t>McFlurry with Reese's Peanut Butter Cups (Medium)</t>
  </si>
  <si>
    <t>14.2 oz (403 g)</t>
  </si>
  <si>
    <t>McFlurry with Reese's Peanut Butter Cups (Snack)</t>
  </si>
  <si>
    <t>Grand Total</t>
  </si>
  <si>
    <t>Sum of Calories</t>
  </si>
  <si>
    <t>Sum of Calories from Fat</t>
  </si>
  <si>
    <t>FatCaloriesPercent</t>
  </si>
  <si>
    <t>HighNutrients</t>
  </si>
  <si>
    <t>Sum of Sugars</t>
  </si>
  <si>
    <t>Sum of Sodium</t>
  </si>
  <si>
    <t>Sum of FatCaloriesPercent</t>
  </si>
  <si>
    <t>Calcium</t>
  </si>
  <si>
    <t>Iron</t>
  </si>
  <si>
    <t>Count of HighNutrients</t>
  </si>
  <si>
    <t>Sum of Carbohydrates</t>
  </si>
  <si>
    <t>Items</t>
  </si>
  <si>
    <t>Beef_Pork</t>
  </si>
  <si>
    <t>Chicken_Fish</t>
  </si>
  <si>
    <t>Smoothies_Shakes</t>
  </si>
  <si>
    <t>Coffee_Tea</t>
  </si>
  <si>
    <t>Snacks_Sides</t>
  </si>
  <si>
    <t>Fat</t>
  </si>
  <si>
    <t>SaturatedFat</t>
  </si>
  <si>
    <t>Sugar</t>
  </si>
  <si>
    <t>Sodium(mg)</t>
  </si>
  <si>
    <t>Cholestrol(mg)</t>
  </si>
  <si>
    <t>Carbohydrates (gm)</t>
  </si>
  <si>
    <t>Nutrients Facts</t>
  </si>
  <si>
    <t>Sugar (g)</t>
  </si>
  <si>
    <t>Sodium (mg)</t>
  </si>
  <si>
    <t>Cholestrol (mg)</t>
  </si>
  <si>
    <t>SaturatedFat (g)</t>
  </si>
  <si>
    <t>Fat (g)</t>
  </si>
  <si>
    <t>Protein (g)</t>
  </si>
  <si>
    <t>Carbohydrates (g)</t>
  </si>
  <si>
    <t>Vitamin C</t>
  </si>
  <si>
    <t>Vitamin A</t>
  </si>
  <si>
    <t>Count of Category</t>
  </si>
  <si>
    <t>Top N Items</t>
  </si>
  <si>
    <t>Ideal Intake Index</t>
  </si>
  <si>
    <t>Cholestrol</t>
  </si>
  <si>
    <t>300 mg</t>
  </si>
  <si>
    <t>Dietry Fibre</t>
  </si>
  <si>
    <t>Carbs</t>
  </si>
  <si>
    <t>Proteins</t>
  </si>
  <si>
    <t>50-175 gms</t>
  </si>
  <si>
    <t>45-78 gms</t>
  </si>
  <si>
    <t>20-30 gms</t>
  </si>
  <si>
    <t>&lt; 2 gms</t>
  </si>
  <si>
    <t>30 gms</t>
  </si>
  <si>
    <t>8 - 18 gms</t>
  </si>
  <si>
    <t>300 gms</t>
  </si>
  <si>
    <t>2300 mg</t>
  </si>
  <si>
    <t>700-900 micro gm</t>
  </si>
  <si>
    <t>75-90 mg</t>
  </si>
  <si>
    <t>1000 mg</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</si>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</sst>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rgb="FF000000"/>
      <name val="Segoe UI"/>
      <family val="2"/>
    </font>
    <font>
      <b/>
      <sz val="16"/>
      <color theme="0"/>
      <name val="Algerian"/>
      <family val="5"/>
    </font>
    <font>
      <sz val="11"/>
      <name val="Calibri"/>
      <family val="2"/>
      <scheme val="minor"/>
    </font>
    <font>
      <b/>
      <sz val="11"/>
      <color theme="0"/>
      <name val="Times New Roman"/>
      <family val="1"/>
    </font>
    <font>
      <sz val="11"/>
      <color theme="1"/>
      <name val="Bubblegum Sans"/>
    </font>
    <font>
      <sz val="10"/>
      <name val="Bubblegum Sans"/>
    </font>
    <font>
      <sz val="12"/>
      <name val="Bubblegum Sans"/>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FFFF00"/>
        <bgColor indexed="64"/>
      </patternFill>
    </fill>
    <fill>
      <patternFill patternType="solid">
        <fgColor theme="1"/>
        <bgColor theme="1"/>
      </patternFill>
    </fill>
    <fill>
      <patternFill patternType="solid">
        <fgColor rgb="FFFF0000"/>
        <bgColor indexed="64"/>
      </patternFill>
    </fill>
    <fill>
      <patternFill patternType="solid">
        <fgColor rgb="FFFB7A65"/>
        <bgColor indexed="64"/>
      </patternFill>
    </fill>
    <fill>
      <patternFill patternType="solid">
        <fgColor rgb="FFFCA596"/>
        <bgColor indexed="64"/>
      </patternFill>
    </fill>
    <fill>
      <patternFill patternType="solid">
        <fgColor rgb="FFFFC000"/>
        <bgColor indexed="64"/>
      </patternFill>
    </fill>
    <fill>
      <gradientFill degree="90">
        <stop position="0">
          <color rgb="FFFB7A65"/>
        </stop>
        <stop position="1">
          <color rgb="FFFCA596"/>
        </stop>
      </gradientFill>
    </fill>
    <fill>
      <patternFill patternType="solid">
        <fgColor rgb="FFFB7F75"/>
        <bgColor indexed="64"/>
      </patternFill>
    </fill>
  </fills>
  <borders count="2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42">
    <xf numFmtId="0" fontId="0" fillId="0" borderId="0" xfId="0"/>
    <xf numFmtId="0" fontId="0" fillId="0" borderId="0" xfId="0" pivotButton="1"/>
    <xf numFmtId="10" fontId="0" fillId="0" borderId="0" xfId="42" applyNumberFormat="1" applyFont="1"/>
    <xf numFmtId="0" fontId="16" fillId="0" borderId="10" xfId="0" applyFont="1" applyBorder="1"/>
    <xf numFmtId="0" fontId="16" fillId="33" borderId="10" xfId="0" applyFont="1" applyFill="1" applyBorder="1"/>
    <xf numFmtId="9" fontId="0" fillId="0" borderId="0" xfId="0" applyNumberFormat="1"/>
    <xf numFmtId="9" fontId="0" fillId="0" borderId="0" xfId="42" applyFont="1"/>
    <xf numFmtId="0" fontId="16" fillId="34" borderId="0" xfId="0" applyFont="1" applyFill="1"/>
    <xf numFmtId="0" fontId="16" fillId="0" borderId="0" xfId="0" applyFont="1"/>
    <xf numFmtId="0" fontId="0" fillId="35" borderId="0" xfId="0" applyFill="1"/>
    <xf numFmtId="0" fontId="13" fillId="36" borderId="11" xfId="0" applyFont="1" applyFill="1" applyBorder="1"/>
    <xf numFmtId="0" fontId="13" fillId="36" borderId="12" xfId="0" applyFont="1" applyFill="1" applyBorder="1"/>
    <xf numFmtId="0" fontId="13" fillId="36" borderId="13" xfId="0" applyFont="1" applyFill="1" applyBorder="1"/>
    <xf numFmtId="0" fontId="21" fillId="37" borderId="0" xfId="0" applyFont="1" applyFill="1" applyAlignment="1">
      <alignment vertical="center"/>
    </xf>
    <xf numFmtId="0" fontId="24" fillId="38" borderId="17" xfId="0" applyFont="1" applyFill="1" applyBorder="1" applyAlignment="1">
      <alignment horizontal="left"/>
    </xf>
    <xf numFmtId="0" fontId="0" fillId="38" borderId="0" xfId="0" applyFill="1"/>
    <xf numFmtId="0" fontId="23" fillId="38" borderId="18" xfId="0" applyFont="1" applyFill="1" applyBorder="1" applyAlignment="1">
      <alignment horizontal="center"/>
    </xf>
    <xf numFmtId="0" fontId="24" fillId="39" borderId="17" xfId="0" applyFont="1" applyFill="1" applyBorder="1" applyAlignment="1">
      <alignment horizontal="left"/>
    </xf>
    <xf numFmtId="0" fontId="23" fillId="39" borderId="18" xfId="0" applyFont="1" applyFill="1" applyBorder="1" applyAlignment="1">
      <alignment horizontal="center"/>
    </xf>
    <xf numFmtId="0" fontId="20" fillId="38" borderId="0" xfId="0" applyFont="1" applyFill="1"/>
    <xf numFmtId="0" fontId="20" fillId="39" borderId="0" xfId="0" applyFont="1" applyFill="1"/>
    <xf numFmtId="0" fontId="24" fillId="38" borderId="14" xfId="0" applyFont="1" applyFill="1" applyBorder="1" applyAlignment="1">
      <alignment horizontal="left"/>
    </xf>
    <xf numFmtId="0" fontId="20" fillId="38" borderId="15" xfId="0" applyFont="1" applyFill="1" applyBorder="1"/>
    <xf numFmtId="0" fontId="23" fillId="38" borderId="16" xfId="0" applyFont="1" applyFill="1" applyBorder="1" applyAlignment="1">
      <alignment horizontal="center"/>
    </xf>
    <xf numFmtId="0" fontId="24" fillId="38" borderId="19" xfId="0" applyFont="1" applyFill="1" applyBorder="1" applyAlignment="1">
      <alignment horizontal="left"/>
    </xf>
    <xf numFmtId="0" fontId="20" fillId="38" borderId="20" xfId="0" applyFont="1" applyFill="1" applyBorder="1"/>
    <xf numFmtId="0" fontId="23" fillId="38" borderId="21" xfId="0" applyFont="1" applyFill="1" applyBorder="1" applyAlignment="1">
      <alignment horizontal="center"/>
    </xf>
    <xf numFmtId="0" fontId="16" fillId="40" borderId="0" xfId="0" applyFont="1" applyFill="1" applyAlignment="1">
      <alignment horizontal="center"/>
    </xf>
    <xf numFmtId="0" fontId="16" fillId="40" borderId="22" xfId="0" applyFont="1" applyFill="1" applyBorder="1" applyAlignment="1">
      <alignment horizontal="center"/>
    </xf>
    <xf numFmtId="0" fontId="0" fillId="39" borderId="0" xfId="0" applyFill="1"/>
    <xf numFmtId="0" fontId="24" fillId="39" borderId="0" xfId="0" applyFont="1" applyFill="1" applyAlignment="1">
      <alignment horizontal="left"/>
    </xf>
    <xf numFmtId="0" fontId="23" fillId="39" borderId="0" xfId="0" applyFont="1" applyFill="1" applyAlignment="1">
      <alignment horizontal="center"/>
    </xf>
    <xf numFmtId="0" fontId="22" fillId="38" borderId="0" xfId="0" applyFont="1" applyFill="1"/>
    <xf numFmtId="0" fontId="0" fillId="42" borderId="0" xfId="0" applyFill="1"/>
    <xf numFmtId="0" fontId="0" fillId="41" borderId="0" xfId="0" applyFill="1" applyAlignment="1">
      <alignment horizontal="center"/>
    </xf>
    <xf numFmtId="0" fontId="19" fillId="37" borderId="14" xfId="0" applyFont="1" applyFill="1" applyBorder="1" applyAlignment="1">
      <alignment horizontal="center"/>
    </xf>
    <xf numFmtId="0" fontId="19" fillId="37" borderId="15" xfId="0" applyFont="1" applyFill="1" applyBorder="1" applyAlignment="1">
      <alignment horizontal="center"/>
    </xf>
    <xf numFmtId="0" fontId="19" fillId="37" borderId="16" xfId="0" applyFont="1" applyFill="1" applyBorder="1" applyAlignment="1">
      <alignment horizontal="center"/>
    </xf>
    <xf numFmtId="0" fontId="21" fillId="37" borderId="19" xfId="0" applyFont="1" applyFill="1" applyBorder="1" applyAlignment="1">
      <alignment horizontal="center"/>
    </xf>
    <xf numFmtId="0" fontId="21" fillId="37" borderId="20" xfId="0" applyFont="1" applyFill="1" applyBorder="1" applyAlignment="1">
      <alignment horizontal="center"/>
    </xf>
    <xf numFmtId="0" fontId="21" fillId="37" borderId="21" xfId="0" applyFont="1" applyFill="1" applyBorder="1" applyAlignment="1">
      <alignment horizontal="center"/>
    </xf>
    <xf numFmtId="0"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40">
    <dxf>
      <font>
        <b val="0"/>
        <i val="0"/>
        <strike val="0"/>
        <condense val="0"/>
        <extend val="0"/>
        <outline val="0"/>
        <shadow val="0"/>
        <u val="none"/>
        <vertAlign val="baseline"/>
        <sz val="11"/>
        <color theme="1"/>
        <name val="Calibri"/>
        <family val="2"/>
        <scheme val="minor"/>
      </font>
      <numFmt numFmtId="14" formatCode="0.0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b/>
        <color theme="1"/>
      </font>
      <border>
        <bottom style="thin">
          <color theme="5"/>
        </bottom>
        <vertical/>
        <horizontal/>
      </border>
    </dxf>
    <dxf>
      <font>
        <color theme="1"/>
      </font>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color theme="1"/>
      </font>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color theme="1"/>
      </font>
      <fill>
        <patternFill>
          <bgColor rgb="FFFF0000"/>
        </patternFill>
      </fill>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color theme="1"/>
      </font>
      <fill>
        <patternFill>
          <bgColor rgb="FFFF0000"/>
        </patternFill>
      </fill>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color theme="1"/>
      </font>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color theme="1"/>
      </font>
      <border>
        <left style="thin">
          <color theme="5"/>
        </left>
        <right style="thin">
          <color theme="5"/>
        </right>
        <top style="thin">
          <color theme="5"/>
        </top>
        <bottom style="thin">
          <color theme="5"/>
        </bottom>
        <vertical/>
        <horizontal/>
      </border>
    </dxf>
    <dxf>
      <font>
        <b/>
        <color theme="1"/>
      </font>
      <fill>
        <patternFill>
          <bgColor theme="5" tint="-0.24994659260841701"/>
        </patternFill>
      </fill>
      <border>
        <bottom style="thin">
          <color theme="5"/>
        </bottom>
        <vertical/>
        <horizontal/>
      </border>
    </dxf>
    <dxf>
      <font>
        <color theme="1"/>
      </font>
      <fill>
        <patternFill>
          <fgColor theme="5" tint="-0.24994659260841701"/>
          <bgColor theme="5" tint="-0.24994659260841701"/>
        </patternFill>
      </fill>
      <border>
        <left style="thin">
          <color theme="5"/>
        </left>
        <right style="thin">
          <color theme="5"/>
        </right>
        <top style="thin">
          <color theme="5"/>
        </top>
        <bottom style="thin">
          <color theme="5"/>
        </bottom>
        <vertical/>
        <horizontal/>
      </border>
    </dxf>
    <dxf>
      <font>
        <b/>
        <color theme="1"/>
      </font>
      <fill>
        <patternFill>
          <bgColor theme="5" tint="-0.24994659260841701"/>
        </patternFill>
      </fill>
      <border>
        <bottom style="thin">
          <color theme="5"/>
        </bottom>
        <vertical/>
        <horizontal/>
      </border>
    </dxf>
    <dxf>
      <font>
        <color theme="1"/>
      </font>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color theme="1"/>
      </font>
      <border>
        <left style="thin">
          <color theme="5"/>
        </left>
        <right style="thin">
          <color theme="5"/>
        </right>
        <top style="thin">
          <color theme="5"/>
        </top>
        <bottom style="thin">
          <color theme="5"/>
        </bottom>
        <vertical/>
        <horizontal/>
      </border>
    </dxf>
  </dxfs>
  <tableStyles count="9" defaultTableStyle="TableStyleMedium2" defaultPivotStyle="PivotStyleLight16">
    <tableStyle name="Brown" pivot="0" table="0" count="10" xr9:uid="{103473BF-0CFA-4E21-AD9B-1A364C631290}">
      <tableStyleElement type="wholeTable" dxfId="39"/>
      <tableStyleElement type="headerRow" dxfId="38"/>
    </tableStyle>
    <tableStyle name="Brown 2" pivot="0" table="0" count="10" xr9:uid="{C904BD71-F256-43AF-A7F6-3A5733E3EB11}">
      <tableStyleElement type="wholeTable" dxfId="37"/>
      <tableStyleElement type="headerRow" dxfId="36"/>
    </tableStyle>
    <tableStyle name="Brown 2 2" pivot="0" table="0" count="10" xr9:uid="{72804F28-72DF-46AB-A495-3846EE70596C}">
      <tableStyleElement type="wholeTable" dxfId="35"/>
      <tableStyleElement type="headerRow" dxfId="34"/>
    </tableStyle>
    <tableStyle name="Slicer Border" pivot="0" table="0" count="10" xr9:uid="{479F31A0-B450-43EF-8FB5-DE5CE648FC76}">
      <tableStyleElement type="wholeTable" dxfId="33"/>
      <tableStyleElement type="headerRow" dxfId="32"/>
    </tableStyle>
    <tableStyle name="SlicerStyleLight2 2" pivot="0" table="0" count="10" xr9:uid="{C598E3FD-85F3-48BE-A1F7-5CA692542D8E}">
      <tableStyleElement type="wholeTable" dxfId="31"/>
      <tableStyleElement type="headerRow" dxfId="30"/>
    </tableStyle>
    <tableStyle name="SlicerStyleLight2 2 2" pivot="0" table="0" count="10" xr9:uid="{B61241BD-3EAC-4249-A8B8-33E12F6FBCAA}">
      <tableStyleElement type="wholeTable" dxfId="29"/>
      <tableStyleElement type="headerRow" dxfId="28"/>
    </tableStyle>
    <tableStyle name="SlicerStyleLight2 2 2 2" pivot="0" table="0" count="10" xr9:uid="{D715DD02-7A22-4A40-90E7-B9C87C3DD447}">
      <tableStyleElement type="wholeTable" dxfId="27"/>
      <tableStyleElement type="headerRow" dxfId="26"/>
    </tableStyle>
    <tableStyle name="SlicerStyleLight2 2 3" pivot="0" table="0" count="10" xr9:uid="{E7012FAE-6CD1-4D94-983A-6269D9241C7E}">
      <tableStyleElement type="wholeTable" dxfId="25"/>
      <tableStyleElement type="headerRow" dxfId="24"/>
    </tableStyle>
    <tableStyle name="SlicerStyleLight2 2 3 2" pivot="0" table="0" count="10" xr9:uid="{37718BE9-9648-42C8-A69C-DBFC9B3C2949}">
      <tableStyleElement type="wholeTable" dxfId="23"/>
      <tableStyleElement type="headerRow" dxfId="22"/>
    </tableStyle>
  </tableStyles>
  <colors>
    <mruColors>
      <color rgb="FFFA6458"/>
      <color rgb="FFFCA596"/>
      <color rgb="FFFB7F75"/>
      <color rgb="FFFB7A65"/>
    </mruColors>
  </colors>
  <extLst>
    <ext xmlns:x14="http://schemas.microsoft.com/office/spreadsheetml/2009/9/main" uri="{46F421CA-312F-682f-3DD2-61675219B42D}">
      <x14:dxfs count="7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rgb="FFFFC00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rgb="FFFF000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rgb="FFFFC00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rgb="FFFFC00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tint="-0.24994659260841701"/>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Brown">
          <x14:slicerStyleElements>
            <x14:slicerStyleElement type="unselectedItemWithData" dxfId="71"/>
            <x14:slicerStyleElement type="unselectedItemWithNoData" dxfId="70"/>
            <x14:slicerStyleElement type="selectedItemWithData" dxfId="69"/>
            <x14:slicerStyleElement type="selectedItemWithNoData" dxfId="68"/>
            <x14:slicerStyleElement type="hoveredUnselectedItemWithData" dxfId="67"/>
            <x14:slicerStyleElement type="hoveredSelectedItemWithData" dxfId="66"/>
            <x14:slicerStyleElement type="hoveredUnselectedItemWithNoData" dxfId="65"/>
            <x14:slicerStyleElement type="hoveredSelectedItemWithNoData" dxfId="64"/>
          </x14:slicerStyleElements>
        </x14:slicerStyle>
        <x14:slicerStyle name="Brown 2">
          <x14:slicerStyleElements>
            <x14:slicerStyleElement type="unselectedItemWithData" dxfId="63"/>
            <x14:slicerStyleElement type="unselectedItemWithNoData" dxfId="62"/>
            <x14:slicerStyleElement type="selectedItemWithData" dxfId="61"/>
            <x14:slicerStyleElement type="selectedItemWithNoData" dxfId="60"/>
            <x14:slicerStyleElement type="hoveredUnselectedItemWithData" dxfId="59"/>
            <x14:slicerStyleElement type="hoveredSelectedItemWithData" dxfId="58"/>
            <x14:slicerStyleElement type="hoveredUnselectedItemWithNoData" dxfId="57"/>
            <x14:slicerStyleElement type="hoveredSelectedItemWithNoData" dxfId="56"/>
          </x14:slicerStyleElements>
        </x14:slicerStyle>
        <x14:slicerStyle name="Brown 2 2">
          <x14:slicerStyleElements>
            <x14:slicerStyleElement type="unselectedItemWithData" dxfId="55"/>
            <x14:slicerStyleElement type="unselectedItemWithNoData" dxfId="54"/>
            <x14:slicerStyleElement type="selectedItemWithData" dxfId="53"/>
            <x14:slicerStyleElement type="selectedItemWithNoData" dxfId="52"/>
            <x14:slicerStyleElement type="hoveredUnselectedItemWithData" dxfId="51"/>
            <x14:slicerStyleElement type="hoveredSelectedItemWithData" dxfId="50"/>
            <x14:slicerStyleElement type="hoveredUnselectedItemWithNoData" dxfId="49"/>
            <x14:slicerStyleElement type="hoveredSelectedItemWithNoData" dxfId="48"/>
          </x14:slicerStyleElements>
        </x14:slicerStyle>
        <x14:slicerStyle name="Slicer Border">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SlicerStyleLight2 2">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2 2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2 2 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2 2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2 2 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pivotCacheDefinition" Target="pivotCache/pivotCacheDefinition9.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openxmlformats.org/officeDocument/2006/relationships/pivotCacheDefinition" Target="pivotCache/pivotCacheDefinition8.xml"/><Relationship Id="rId29"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2.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pivotCacheDefinition" Target="pivotCache/pivotCacheDefinition7.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1.xml"/><Relationship Id="rId27" Type="http://schemas.openxmlformats.org/officeDocument/2006/relationships/sharedStrings" Target="sharedString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[McDonalds_Latest.xlsm]Micronutrients_Classification!PivotTable4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latin typeface="Arial Black" panose="020B0A04020102020204" pitchFamily="34" charset="0"/>
              </a:rPr>
              <a:t>Count of items</a:t>
            </a:r>
            <a:r>
              <a:rPr lang="en-US" b="1" baseline="0">
                <a:solidFill>
                  <a:schemeClr val="bg1"/>
                </a:solidFill>
                <a:latin typeface="Arial Black" panose="020B0A04020102020204" pitchFamily="34" charset="0"/>
              </a:rPr>
              <a:t> rich in micronutrients</a:t>
            </a:r>
            <a:endParaRPr lang="en-US" b="1">
              <a:solidFill>
                <a:schemeClr val="bg1"/>
              </a:solidFill>
              <a:latin typeface="Arial Black" panose="020B0A040201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001746010197002"/>
          <c:y val="0.25283103924986478"/>
          <c:w val="0.79272200349956268"/>
          <c:h val="0.55376369938490511"/>
        </c:manualLayout>
      </c:layout>
      <c:barChart>
        <c:barDir val="bar"/>
        <c:grouping val="clustered"/>
        <c:varyColors val="0"/>
        <c:ser>
          <c:idx val="0"/>
          <c:order val="0"/>
          <c:tx>
            <c:strRef>
              <c:f>Micronutrients_Classification!$B$3</c:f>
              <c:strCache>
                <c:ptCount val="1"/>
                <c:pt idx="0">
                  <c:v>Total</c:v>
                </c:pt>
              </c:strCache>
            </c:strRef>
          </c:tx>
          <c:spPr>
            <a:solidFill>
              <a:srgbClr val="FFC000"/>
            </a:solidFill>
            <a:ln>
              <a:solidFill>
                <a:schemeClr val="accent2">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Micronutrients_Classification!$A$4:$A$8</c:f>
              <c:strCache>
                <c:ptCount val="4"/>
                <c:pt idx="0">
                  <c:v>Vitamin A</c:v>
                </c:pt>
                <c:pt idx="1">
                  <c:v>Vitamin C</c:v>
                </c:pt>
                <c:pt idx="2">
                  <c:v>Iron</c:v>
                </c:pt>
                <c:pt idx="3">
                  <c:v>Calcium</c:v>
                </c:pt>
              </c:strCache>
            </c:strRef>
          </c:cat>
          <c:val>
            <c:numRef>
              <c:f>Micronutrients_Classification!$B$4:$B$8</c:f>
              <c:numCache>
                <c:formatCode>General</c:formatCode>
                <c:ptCount val="4"/>
                <c:pt idx="0">
                  <c:v>1</c:v>
                </c:pt>
                <c:pt idx="1">
                  <c:v>3</c:v>
                </c:pt>
                <c:pt idx="2">
                  <c:v>19</c:v>
                </c:pt>
                <c:pt idx="3">
                  <c:v>19</c:v>
                </c:pt>
              </c:numCache>
            </c:numRef>
          </c:val>
          <c:extLst>
            <c:ext xmlns:c16="http://schemas.microsoft.com/office/drawing/2014/chart" uri="{C3380CC4-5D6E-409C-BE32-E72D297353CC}">
              <c16:uniqueId val="{00000000-15EB-4EDB-928B-B537763D992E}"/>
            </c:ext>
          </c:extLst>
        </c:ser>
        <c:dLbls>
          <c:dLblPos val="outEnd"/>
          <c:showLegendKey val="0"/>
          <c:showVal val="1"/>
          <c:showCatName val="0"/>
          <c:showSerName val="0"/>
          <c:showPercent val="0"/>
          <c:showBubbleSize val="0"/>
        </c:dLbls>
        <c:gapWidth val="182"/>
        <c:axId val="82578464"/>
        <c:axId val="82579424"/>
      </c:barChart>
      <c:catAx>
        <c:axId val="8257846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solidFill>
                      <a:schemeClr val="bg1"/>
                    </a:solidFill>
                  </a:rPr>
                  <a:t>Micro-nutrients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82579424"/>
        <c:crosses val="autoZero"/>
        <c:auto val="1"/>
        <c:lblAlgn val="ctr"/>
        <c:lblOffset val="100"/>
        <c:noMultiLvlLbl val="0"/>
      </c:catAx>
      <c:valAx>
        <c:axId val="82579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solidFill>
                      <a:schemeClr val="bg1"/>
                    </a:solidFill>
                  </a:rPr>
                  <a:t>Number of items</a:t>
                </a:r>
              </a:p>
            </c:rich>
          </c:tx>
          <c:layout>
            <c:manualLayout>
              <c:xMode val="edge"/>
              <c:yMode val="edge"/>
              <c:x val="0.41769541738317195"/>
              <c:y val="0.9032758309791428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82578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63000">
          <a:srgbClr val="FB7A65"/>
        </a:gs>
        <a:gs pos="0">
          <a:srgbClr val="FF0000"/>
        </a:gs>
        <a:gs pos="100000">
          <a:srgbClr val="FB7A65"/>
        </a:gs>
      </a:gsLst>
      <a:lin ang="5400000" scaled="1"/>
    </a:gradFill>
    <a:ln w="9525" cap="flat" cmpd="sng" algn="ctr">
      <a:solidFill>
        <a:srgbClr val="FFC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'Top N Items'!$N$23</c:f>
          <c:strCache>
            <c:ptCount val="1"/>
            <c:pt idx="0">
              <c:v>Top 8 items with high carbohydrates</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Arial Black" panose="020B0A04020102020204" pitchFamily="34" charset="0"/>
              <a:ea typeface="+mn-ea"/>
              <a:cs typeface="+mn-cs"/>
            </a:defRPr>
          </a:pPr>
          <a:endParaRPr lang="en-US"/>
        </a:p>
      </c:txPr>
    </c:title>
    <c:autoTitleDeleted val="0"/>
    <c:plotArea>
      <c:layout/>
      <c:barChart>
        <c:barDir val="col"/>
        <c:grouping val="clustered"/>
        <c:varyColors val="0"/>
        <c:ser>
          <c:idx val="0"/>
          <c:order val="0"/>
          <c:tx>
            <c:strRef>
              <c:f>'Top N Items'!$L$3</c:f>
              <c:strCache>
                <c:ptCount val="1"/>
                <c:pt idx="0">
                  <c:v>Carbohydrates (gm)</c:v>
                </c:pt>
              </c:strCache>
            </c:strRef>
          </c:tx>
          <c:spPr>
            <a:solidFill>
              <a:srgbClr val="FFC000"/>
            </a:solidFill>
            <a:ln>
              <a:solidFill>
                <a:schemeClr val="accent2">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'Top N Items'!$J$4:$K$11</c15:sqref>
                  </c15:fullRef>
                  <c15:levelRef>
                    <c15:sqref>'Top N Items'!$J$4:$J$11</c15:sqref>
                  </c15:levelRef>
                </c:ext>
              </c:extLst>
              <c:f>'Top N Items'!$J$4:$J$11</c:f>
              <c:strCache>
                <c:ptCount val="8"/>
                <c:pt idx="0">
                  <c:v>Chocolate Shake (Large)</c:v>
                </c:pt>
                <c:pt idx="1">
                  <c:v>Strawberry Shake (Large)</c:v>
                </c:pt>
                <c:pt idx="2">
                  <c:v>McFlurry with M&amp;Mâ€™s Candies (Medium)</c:v>
                </c:pt>
                <c:pt idx="3">
                  <c:v>Shamrock Shake (Large)</c:v>
                </c:pt>
                <c:pt idx="4">
                  <c:v>Vanilla Shake (Large)</c:v>
                </c:pt>
                <c:pt idx="5">
                  <c:v>Chicken McNuggets (40 piece)</c:v>
                </c:pt>
                <c:pt idx="6">
                  <c:v>Big Breakfast with Hotcakes (Large Biscuit)</c:v>
                </c:pt>
                <c:pt idx="7">
                  <c:v>Big Breakfast with Hotcakes and Egg Whites (Large Biscuit)</c:v>
                </c:pt>
              </c:strCache>
            </c:strRef>
          </c:cat>
          <c:val>
            <c:numRef>
              <c:f>'Top N Items'!$L$4:$L$11</c:f>
              <c:numCache>
                <c:formatCode>General</c:formatCode>
                <c:ptCount val="8"/>
                <c:pt idx="0">
                  <c:v>141</c:v>
                </c:pt>
                <c:pt idx="1">
                  <c:v>140</c:v>
                </c:pt>
                <c:pt idx="2">
                  <c:v>139</c:v>
                </c:pt>
                <c:pt idx="3">
                  <c:v>135</c:v>
                </c:pt>
                <c:pt idx="4">
                  <c:v>135</c:v>
                </c:pt>
                <c:pt idx="5">
                  <c:v>118</c:v>
                </c:pt>
                <c:pt idx="6">
                  <c:v>116</c:v>
                </c:pt>
                <c:pt idx="7">
                  <c:v>115</c:v>
                </c:pt>
              </c:numCache>
            </c:numRef>
          </c:val>
          <c:extLst>
            <c:ext xmlns:c16="http://schemas.microsoft.com/office/drawing/2014/chart" uri="{C3380CC4-5D6E-409C-BE32-E72D297353CC}">
              <c16:uniqueId val="{00000000-2A99-437C-B364-877ABB110877}"/>
            </c:ext>
          </c:extLst>
        </c:ser>
        <c:dLbls>
          <c:dLblPos val="outEnd"/>
          <c:showLegendKey val="0"/>
          <c:showVal val="1"/>
          <c:showCatName val="0"/>
          <c:showSerName val="0"/>
          <c:showPercent val="0"/>
          <c:showBubbleSize val="0"/>
        </c:dLbls>
        <c:gapWidth val="182"/>
        <c:axId val="1560434767"/>
        <c:axId val="1560434287"/>
      </c:barChart>
      <c:catAx>
        <c:axId val="1560434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chemeClr val="bg1"/>
                </a:solidFill>
                <a:latin typeface="+mn-lt"/>
                <a:ea typeface="+mn-ea"/>
                <a:cs typeface="+mn-cs"/>
              </a:defRPr>
            </a:pPr>
            <a:endParaRPr lang="en-US"/>
          </a:p>
        </c:txPr>
        <c:crossAx val="1560434287"/>
        <c:crosses val="autoZero"/>
        <c:auto val="1"/>
        <c:lblAlgn val="ctr"/>
        <c:lblOffset val="100"/>
        <c:noMultiLvlLbl val="0"/>
      </c:catAx>
      <c:valAx>
        <c:axId val="15604342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560434767"/>
        <c:crosses val="autoZero"/>
        <c:crossBetween val="between"/>
      </c:valAx>
      <c:spPr>
        <a:noFill/>
        <a:ln>
          <a:noFill/>
        </a:ln>
        <a:effectLst/>
      </c:spPr>
    </c:plotArea>
    <c:plotVisOnly val="1"/>
    <c:dispBlanksAs val="gap"/>
    <c:showDLblsOverMax val="0"/>
  </c:chart>
  <c:spPr>
    <a:gradFill>
      <a:gsLst>
        <a:gs pos="0">
          <a:srgbClr val="FF0000"/>
        </a:gs>
        <a:gs pos="58000">
          <a:srgbClr val="FB7A65"/>
        </a:gs>
        <a:gs pos="100000">
          <a:srgbClr val="FB7A65"/>
        </a:gs>
      </a:gsLst>
      <a:lin ang="5400000" scaled="1"/>
    </a:gradFill>
    <a:ln w="9525" cap="flat" cmpd="sng" algn="ctr">
      <a:solidFill>
        <a:srgbClr val="FFC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[McDonalds_Latest.xlsm]IdealCalorieItems!PivotTable3</c:name>
    <c:fmtId val="4"/>
  </c:pivotSource>
  <c:chart>
    <c:title>
      <c:tx>
        <c:rich>
          <a:bodyPr rot="0" spcFirstLastPara="1" vertOverflow="ellipsis" vert="horz" wrap="square" anchor="ctr" anchorCtr="1"/>
          <a:lstStyle/>
          <a:p>
            <a:pPr>
              <a:defRPr sz="1400" b="1" i="0" u="none" strike="noStrike" kern="1200" spc="0" baseline="0">
                <a:solidFill>
                  <a:schemeClr val="bg1"/>
                </a:solidFill>
                <a:latin typeface="Arial Black" panose="020B0A04020102020204" pitchFamily="34" charset="0"/>
                <a:ea typeface="+mn-ea"/>
                <a:cs typeface="+mn-cs"/>
              </a:defRPr>
            </a:pPr>
            <a:r>
              <a:rPr lang="en-US" b="1">
                <a:solidFill>
                  <a:schemeClr val="bg1"/>
                </a:solidFill>
                <a:latin typeface="Arial Black" panose="020B0A04020102020204" pitchFamily="34" charset="0"/>
              </a:rPr>
              <a:t>Items with ideal calorie value for one meal</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Arial Black" panose="020B0A0402010202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rgbClr val="FFC000"/>
          </a:solidFill>
          <a:ln>
            <a:solidFill>
              <a:srgbClr val="FFC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rgbClr val="FFC000"/>
          </a:solidFill>
          <a:ln>
            <a:solidFill>
              <a:srgbClr val="FFC000"/>
            </a:solidFill>
          </a:ln>
          <a:effectLst/>
        </c:spPr>
      </c:pivotFmt>
    </c:pivotFmts>
    <c:plotArea>
      <c:layout>
        <c:manualLayout>
          <c:layoutTarget val="inner"/>
          <c:xMode val="edge"/>
          <c:yMode val="edge"/>
          <c:x val="3.8232186353487886E-2"/>
          <c:y val="4.5903954802259887E-2"/>
          <c:w val="0.94014384912680216"/>
          <c:h val="0.69893800259129479"/>
        </c:manualLayout>
      </c:layout>
      <c:barChart>
        <c:barDir val="col"/>
        <c:grouping val="clustered"/>
        <c:varyColors val="0"/>
        <c:ser>
          <c:idx val="0"/>
          <c:order val="0"/>
          <c:tx>
            <c:strRef>
              <c:f>IdealCalorieItems!$C$3</c:f>
              <c:strCache>
                <c:ptCount val="1"/>
                <c:pt idx="0">
                  <c:v>Total</c:v>
                </c:pt>
              </c:strCache>
            </c:strRef>
          </c:tx>
          <c:spPr>
            <a:solidFill>
              <a:srgbClr val="FFC000"/>
            </a:solidFill>
            <a:ln>
              <a:solidFill>
                <a:srgbClr val="FFC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IdealCalorieItems!$A$4:$B$29</c:f>
              <c:multiLvlStrCache>
                <c:ptCount val="24"/>
                <c:lvl>
                  <c:pt idx="0">
                    <c:v>Bacon, Egg &amp; Cheese Biscuit (Regular Biscuit)</c:v>
                  </c:pt>
                  <c:pt idx="1">
                    <c:v>Bacon, Egg &amp; Cheese Biscuit with Egg Whites (Large Biscuit)</c:v>
                  </c:pt>
                  <c:pt idx="2">
                    <c:v>Bacon, Egg &amp; Cheese Biscuit with Egg Whites (Regular Biscuit)</c:v>
                  </c:pt>
                  <c:pt idx="3">
                    <c:v>Bacon, Egg &amp; Cheese McGriddles</c:v>
                  </c:pt>
                  <c:pt idx="4">
                    <c:v>Bacon, Egg &amp; Cheese McGriddles with Egg Whites</c:v>
                  </c:pt>
                  <c:pt idx="5">
                    <c:v>Cinnamon Melts</c:v>
                  </c:pt>
                  <c:pt idx="6">
                    <c:v>Egg McMuffin</c:v>
                  </c:pt>
                  <c:pt idx="7">
                    <c:v>Egg White Delight</c:v>
                  </c:pt>
                  <c:pt idx="8">
                    <c:v>Fruit &amp; Maple Oatmeal</c:v>
                  </c:pt>
                  <c:pt idx="9">
                    <c:v>Fruit &amp; Maple Oatmeal without Brown Sugar</c:v>
                  </c:pt>
                  <c:pt idx="10">
                    <c:v>Hash Brown</c:v>
                  </c:pt>
                  <c:pt idx="11">
                    <c:v>Hotcakes</c:v>
                  </c:pt>
                  <c:pt idx="12">
                    <c:v>Sausage Biscuit (Large Biscuit)</c:v>
                  </c:pt>
                  <c:pt idx="13">
                    <c:v>Sausage Biscuit (Regular Biscuit)</c:v>
                  </c:pt>
                  <c:pt idx="14">
                    <c:v>Sausage Biscuit with Egg Whites (Regular Biscuit)</c:v>
                  </c:pt>
                  <c:pt idx="15">
                    <c:v>Sausage Burrito</c:v>
                  </c:pt>
                  <c:pt idx="16">
                    <c:v>Sausage McGriddles</c:v>
                  </c:pt>
                  <c:pt idx="17">
                    <c:v>Sausage McMuffin</c:v>
                  </c:pt>
                  <c:pt idx="18">
                    <c:v>Sausage McMuffin with Egg</c:v>
                  </c:pt>
                  <c:pt idx="19">
                    <c:v>Sausage McMuffin with Egg Whites</c:v>
                  </c:pt>
                  <c:pt idx="20">
                    <c:v>Sausage, Egg &amp; Cheese McGriddles with Egg Whites</c:v>
                  </c:pt>
                  <c:pt idx="21">
                    <c:v>Southern Style Chicken Biscuit (Large Biscuit)</c:v>
                  </c:pt>
                  <c:pt idx="22">
                    <c:v>Southern Style Chicken Biscuit (Regular Biscuit)</c:v>
                  </c:pt>
                  <c:pt idx="23">
                    <c:v>Steak &amp; Egg McMuffin</c:v>
                  </c:pt>
                </c:lvl>
                <c:lvl>
                  <c:pt idx="0">
                    <c:v>Breakfast</c:v>
                  </c:pt>
                </c:lvl>
              </c:multiLvlStrCache>
            </c:multiLvlStrRef>
          </c:cat>
          <c:val>
            <c:numRef>
              <c:f>IdealCalorieItems!$C$4:$C$29</c:f>
              <c:numCache>
                <c:formatCode>General</c:formatCode>
                <c:ptCount val="24"/>
                <c:pt idx="0">
                  <c:v>460</c:v>
                </c:pt>
                <c:pt idx="1">
                  <c:v>470</c:v>
                </c:pt>
                <c:pt idx="2">
                  <c:v>410</c:v>
                </c:pt>
                <c:pt idx="3">
                  <c:v>460</c:v>
                </c:pt>
                <c:pt idx="4">
                  <c:v>400</c:v>
                </c:pt>
                <c:pt idx="5">
                  <c:v>460</c:v>
                </c:pt>
                <c:pt idx="6">
                  <c:v>300</c:v>
                </c:pt>
                <c:pt idx="7">
                  <c:v>250</c:v>
                </c:pt>
                <c:pt idx="8">
                  <c:v>290</c:v>
                </c:pt>
                <c:pt idx="9">
                  <c:v>260</c:v>
                </c:pt>
                <c:pt idx="10">
                  <c:v>150</c:v>
                </c:pt>
                <c:pt idx="11">
                  <c:v>350</c:v>
                </c:pt>
                <c:pt idx="12">
                  <c:v>480</c:v>
                </c:pt>
                <c:pt idx="13">
                  <c:v>430</c:v>
                </c:pt>
                <c:pt idx="14">
                  <c:v>460</c:v>
                </c:pt>
                <c:pt idx="15">
                  <c:v>300</c:v>
                </c:pt>
                <c:pt idx="16">
                  <c:v>420</c:v>
                </c:pt>
                <c:pt idx="17">
                  <c:v>370</c:v>
                </c:pt>
                <c:pt idx="18">
                  <c:v>450</c:v>
                </c:pt>
                <c:pt idx="19">
                  <c:v>400</c:v>
                </c:pt>
                <c:pt idx="20">
                  <c:v>500</c:v>
                </c:pt>
                <c:pt idx="21">
                  <c:v>470</c:v>
                </c:pt>
                <c:pt idx="22">
                  <c:v>410</c:v>
                </c:pt>
                <c:pt idx="23">
                  <c:v>430</c:v>
                </c:pt>
              </c:numCache>
            </c:numRef>
          </c:val>
          <c:extLst>
            <c:ext xmlns:c16="http://schemas.microsoft.com/office/drawing/2014/chart" uri="{C3380CC4-5D6E-409C-BE32-E72D297353CC}">
              <c16:uniqueId val="{00000000-D1F2-4FD0-AB18-89F57B7354E7}"/>
            </c:ext>
          </c:extLst>
        </c:ser>
        <c:dLbls>
          <c:dLblPos val="outEnd"/>
          <c:showLegendKey val="0"/>
          <c:showVal val="1"/>
          <c:showCatName val="0"/>
          <c:showSerName val="0"/>
          <c:showPercent val="0"/>
          <c:showBubbleSize val="0"/>
        </c:dLbls>
        <c:gapWidth val="150"/>
        <c:axId val="834987007"/>
        <c:axId val="834978847"/>
      </c:barChart>
      <c:catAx>
        <c:axId val="834987007"/>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1" i="0" u="none" strike="noStrike" kern="1200" baseline="0">
                <a:solidFill>
                  <a:schemeClr val="bg1"/>
                </a:solidFill>
                <a:latin typeface="+mn-lt"/>
                <a:ea typeface="+mn-ea"/>
                <a:cs typeface="+mn-cs"/>
              </a:defRPr>
            </a:pPr>
            <a:endParaRPr lang="en-US"/>
          </a:p>
        </c:txPr>
        <c:crossAx val="834978847"/>
        <c:crosses val="autoZero"/>
        <c:auto val="1"/>
        <c:lblAlgn val="ctr"/>
        <c:lblOffset val="100"/>
        <c:noMultiLvlLbl val="0"/>
      </c:catAx>
      <c:valAx>
        <c:axId val="834978847"/>
        <c:scaling>
          <c:orientation val="minMax"/>
        </c:scaling>
        <c:delete val="0"/>
        <c:axPos val="l"/>
        <c:numFmt formatCode="General" sourceLinked="1"/>
        <c:majorTickMark val="none"/>
        <c:minorTickMark val="none"/>
        <c:tickLblPos val="nextTo"/>
        <c:spPr>
          <a:noFill/>
          <a:ln>
            <a:solidFill>
              <a:schemeClr val="bg1"/>
            </a:solid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8349870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rgbClr val="FF0000"/>
        </a:gs>
        <a:gs pos="54000">
          <a:srgbClr val="FB7A65"/>
        </a:gs>
        <a:gs pos="100000">
          <a:srgbClr val="FB7A65"/>
        </a:gs>
      </a:gsLst>
      <a:lin ang="5400000" scaled="1"/>
    </a:gradFill>
    <a:ln w="9525" cap="flat" cmpd="sng" algn="ctr">
      <a:solidFill>
        <a:srgbClr val="FFC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Arial Black" panose="020B0A04020102020204" pitchFamily="34" charset="0"/>
                <a:ea typeface="+mn-ea"/>
                <a:cs typeface="+mn-cs"/>
              </a:defRPr>
            </a:pPr>
            <a:r>
              <a:rPr lang="en-US">
                <a:latin typeface="Arial Black" panose="020B0A04020102020204" pitchFamily="34" charset="0"/>
              </a:rPr>
              <a:t>Calories vs Calories from fat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Arial Black" panose="020B0A04020102020204" pitchFamily="34" charset="0"/>
              <a:ea typeface="+mn-ea"/>
              <a:cs typeface="+mn-cs"/>
            </a:defRPr>
          </a:pPr>
          <a:endParaRPr lang="en-US"/>
        </a:p>
      </c:txPr>
    </c:title>
    <c:autoTitleDeleted val="0"/>
    <c:plotArea>
      <c:layout>
        <c:manualLayout>
          <c:layoutTarget val="inner"/>
          <c:xMode val="edge"/>
          <c:yMode val="edge"/>
          <c:x val="0.13001478263492924"/>
          <c:y val="0.20319549780203855"/>
          <c:w val="0.82180514073671829"/>
          <c:h val="0.59535610195964772"/>
        </c:manualLayout>
      </c:layout>
      <c:scatterChart>
        <c:scatterStyle val="lineMarker"/>
        <c:varyColors val="0"/>
        <c:ser>
          <c:idx val="0"/>
          <c:order val="0"/>
          <c:tx>
            <c:strRef>
              <c:f>'Calorie vs CalorieFromFat'!$G$3</c:f>
              <c:strCache>
                <c:ptCount val="1"/>
                <c:pt idx="0">
                  <c:v>Sum of Calories from Fat</c:v>
                </c:pt>
              </c:strCache>
            </c:strRef>
          </c:tx>
          <c:spPr>
            <a:ln w="19050" cap="rnd">
              <a:noFill/>
              <a:round/>
            </a:ln>
            <a:effectLst/>
          </c:spPr>
          <c:marker>
            <c:symbol val="circle"/>
            <c:size val="5"/>
            <c:spPr>
              <a:solidFill>
                <a:srgbClr val="FFC000"/>
              </a:solidFill>
              <a:ln w="9525">
                <a:solidFill>
                  <a:schemeClr val="accent4">
                    <a:lumMod val="75000"/>
                  </a:schemeClr>
                </a:solidFill>
              </a:ln>
              <a:effectLst/>
            </c:spPr>
          </c:marker>
          <c:xVal>
            <c:numRef>
              <c:f>'Calorie vs CalorieFromFat'!$F$4:$F$263</c:f>
              <c:numCache>
                <c:formatCode>General</c:formatCode>
                <c:ptCount val="260"/>
                <c:pt idx="0">
                  <c:v>100</c:v>
                </c:pt>
                <c:pt idx="1">
                  <c:v>15</c:v>
                </c:pt>
                <c:pt idx="2">
                  <c:v>430</c:v>
                </c:pt>
                <c:pt idx="3">
                  <c:v>480</c:v>
                </c:pt>
                <c:pt idx="4">
                  <c:v>720</c:v>
                </c:pt>
                <c:pt idx="5">
                  <c:v>750</c:v>
                </c:pt>
                <c:pt idx="6">
                  <c:v>590</c:v>
                </c:pt>
                <c:pt idx="7">
                  <c:v>440</c:v>
                </c:pt>
                <c:pt idx="8">
                  <c:v>620</c:v>
                </c:pt>
                <c:pt idx="9">
                  <c:v>570</c:v>
                </c:pt>
                <c:pt idx="10">
                  <c:v>520</c:v>
                </c:pt>
                <c:pt idx="11">
                  <c:v>460</c:v>
                </c:pt>
                <c:pt idx="12">
                  <c:v>470</c:v>
                </c:pt>
                <c:pt idx="13">
                  <c:v>410</c:v>
                </c:pt>
                <c:pt idx="14">
                  <c:v>460</c:v>
                </c:pt>
                <c:pt idx="15">
                  <c:v>400</c:v>
                </c:pt>
                <c:pt idx="16">
                  <c:v>250</c:v>
                </c:pt>
                <c:pt idx="17">
                  <c:v>800</c:v>
                </c:pt>
                <c:pt idx="18">
                  <c:v>740</c:v>
                </c:pt>
                <c:pt idx="19">
                  <c:v>690</c:v>
                </c:pt>
                <c:pt idx="20">
                  <c:v>640</c:v>
                </c:pt>
                <c:pt idx="21">
                  <c:v>1150</c:v>
                </c:pt>
                <c:pt idx="22">
                  <c:v>1090</c:v>
                </c:pt>
                <c:pt idx="23">
                  <c:v>1050</c:v>
                </c:pt>
                <c:pt idx="24">
                  <c:v>990</c:v>
                </c:pt>
                <c:pt idx="25">
                  <c:v>530</c:v>
                </c:pt>
                <c:pt idx="26">
                  <c:v>340</c:v>
                </c:pt>
                <c:pt idx="27">
                  <c:v>260</c:v>
                </c:pt>
                <c:pt idx="28">
                  <c:v>220</c:v>
                </c:pt>
                <c:pt idx="29">
                  <c:v>360</c:v>
                </c:pt>
                <c:pt idx="30">
                  <c:v>260</c:v>
                </c:pt>
                <c:pt idx="31">
                  <c:v>180</c:v>
                </c:pt>
                <c:pt idx="32">
                  <c:v>130</c:v>
                </c:pt>
                <c:pt idx="33">
                  <c:v>430</c:v>
                </c:pt>
                <c:pt idx="34">
                  <c:v>340</c:v>
                </c:pt>
                <c:pt idx="35">
                  <c:v>270</c:v>
                </c:pt>
                <c:pt idx="36">
                  <c:v>480</c:v>
                </c:pt>
                <c:pt idx="37">
                  <c:v>390</c:v>
                </c:pt>
                <c:pt idx="38">
                  <c:v>320</c:v>
                </c:pt>
                <c:pt idx="39">
                  <c:v>290</c:v>
                </c:pt>
                <c:pt idx="40">
                  <c:v>470</c:v>
                </c:pt>
                <c:pt idx="41">
                  <c:v>940</c:v>
                </c:pt>
                <c:pt idx="42">
                  <c:v>190</c:v>
                </c:pt>
                <c:pt idx="43">
                  <c:v>1880</c:v>
                </c:pt>
                <c:pt idx="44">
                  <c:v>280</c:v>
                </c:pt>
                <c:pt idx="45">
                  <c:v>340</c:v>
                </c:pt>
                <c:pt idx="46">
                  <c:v>260</c:v>
                </c:pt>
                <c:pt idx="47">
                  <c:v>160</c:v>
                </c:pt>
                <c:pt idx="48">
                  <c:v>850</c:v>
                </c:pt>
                <c:pt idx="49">
                  <c:v>700</c:v>
                </c:pt>
                <c:pt idx="50">
                  <c:v>560</c:v>
                </c:pt>
                <c:pt idx="51">
                  <c:v>460</c:v>
                </c:pt>
                <c:pt idx="52">
                  <c:v>100</c:v>
                </c:pt>
                <c:pt idx="53">
                  <c:v>280</c:v>
                </c:pt>
                <c:pt idx="54">
                  <c:v>200</c:v>
                </c:pt>
                <c:pt idx="55">
                  <c:v>140</c:v>
                </c:pt>
                <c:pt idx="56">
                  <c:v>0</c:v>
                </c:pt>
                <c:pt idx="57">
                  <c:v>0</c:v>
                </c:pt>
                <c:pt idx="58">
                  <c:v>0</c:v>
                </c:pt>
                <c:pt idx="59">
                  <c:v>430</c:v>
                </c:pt>
                <c:pt idx="60">
                  <c:v>0</c:v>
                </c:pt>
                <c:pt idx="61">
                  <c:v>0</c:v>
                </c:pt>
                <c:pt idx="62">
                  <c:v>0</c:v>
                </c:pt>
                <c:pt idx="63">
                  <c:v>0</c:v>
                </c:pt>
                <c:pt idx="64">
                  <c:v>0</c:v>
                </c:pt>
                <c:pt idx="65">
                  <c:v>0</c:v>
                </c:pt>
                <c:pt idx="66">
                  <c:v>0</c:v>
                </c:pt>
                <c:pt idx="67">
                  <c:v>0</c:v>
                </c:pt>
                <c:pt idx="68">
                  <c:v>0</c:v>
                </c:pt>
                <c:pt idx="69">
                  <c:v>430</c:v>
                </c:pt>
                <c:pt idx="70">
                  <c:v>750</c:v>
                </c:pt>
                <c:pt idx="71">
                  <c:v>100</c:v>
                </c:pt>
                <c:pt idx="72">
                  <c:v>270</c:v>
                </c:pt>
                <c:pt idx="73">
                  <c:v>190</c:v>
                </c:pt>
                <c:pt idx="74">
                  <c:v>140</c:v>
                </c:pt>
                <c:pt idx="75">
                  <c:v>300</c:v>
                </c:pt>
                <c:pt idx="76">
                  <c:v>250</c:v>
                </c:pt>
                <c:pt idx="77">
                  <c:v>130</c:v>
                </c:pt>
                <c:pt idx="78">
                  <c:v>390</c:v>
                </c:pt>
                <c:pt idx="79">
                  <c:v>670</c:v>
                </c:pt>
                <c:pt idx="80">
                  <c:v>550</c:v>
                </c:pt>
                <c:pt idx="81">
                  <c:v>450</c:v>
                </c:pt>
                <c:pt idx="82">
                  <c:v>760</c:v>
                </c:pt>
                <c:pt idx="83">
                  <c:v>630</c:v>
                </c:pt>
                <c:pt idx="84">
                  <c:v>530</c:v>
                </c:pt>
                <c:pt idx="85">
                  <c:v>670</c:v>
                </c:pt>
                <c:pt idx="86">
                  <c:v>550</c:v>
                </c:pt>
                <c:pt idx="87">
                  <c:v>450</c:v>
                </c:pt>
                <c:pt idx="88">
                  <c:v>240</c:v>
                </c:pt>
                <c:pt idx="89">
                  <c:v>170</c:v>
                </c:pt>
                <c:pt idx="90">
                  <c:v>120</c:v>
                </c:pt>
                <c:pt idx="91">
                  <c:v>420</c:v>
                </c:pt>
                <c:pt idx="92">
                  <c:v>330</c:v>
                </c:pt>
                <c:pt idx="93">
                  <c:v>260</c:v>
                </c:pt>
                <c:pt idx="94">
                  <c:v>290</c:v>
                </c:pt>
                <c:pt idx="95">
                  <c:v>260</c:v>
                </c:pt>
                <c:pt idx="96">
                  <c:v>150</c:v>
                </c:pt>
                <c:pt idx="97">
                  <c:v>240</c:v>
                </c:pt>
                <c:pt idx="98">
                  <c:v>150</c:v>
                </c:pt>
                <c:pt idx="99">
                  <c:v>250</c:v>
                </c:pt>
                <c:pt idx="100">
                  <c:v>180</c:v>
                </c:pt>
                <c:pt idx="101">
                  <c:v>130</c:v>
                </c:pt>
                <c:pt idx="102">
                  <c:v>430</c:v>
                </c:pt>
                <c:pt idx="103">
                  <c:v>330</c:v>
                </c:pt>
                <c:pt idx="104">
                  <c:v>270</c:v>
                </c:pt>
                <c:pt idx="105">
                  <c:v>330</c:v>
                </c:pt>
                <c:pt idx="106">
                  <c:v>250</c:v>
                </c:pt>
                <c:pt idx="107">
                  <c:v>340</c:v>
                </c:pt>
                <c:pt idx="108">
                  <c:v>540</c:v>
                </c:pt>
                <c:pt idx="109">
                  <c:v>440</c:v>
                </c:pt>
                <c:pt idx="110">
                  <c:v>360</c:v>
                </c:pt>
                <c:pt idx="111">
                  <c:v>400</c:v>
                </c:pt>
                <c:pt idx="112">
                  <c:v>340</c:v>
                </c:pt>
                <c:pt idx="113">
                  <c:v>280</c:v>
                </c:pt>
                <c:pt idx="114">
                  <c:v>330</c:v>
                </c:pt>
                <c:pt idx="115">
                  <c:v>350</c:v>
                </c:pt>
                <c:pt idx="116">
                  <c:v>520</c:v>
                </c:pt>
                <c:pt idx="117">
                  <c:v>460</c:v>
                </c:pt>
                <c:pt idx="118">
                  <c:v>340</c:v>
                </c:pt>
                <c:pt idx="119">
                  <c:v>280</c:v>
                </c:pt>
                <c:pt idx="120">
                  <c:v>160</c:v>
                </c:pt>
                <c:pt idx="121">
                  <c:v>120</c:v>
                </c:pt>
                <c:pt idx="122">
                  <c:v>80</c:v>
                </c:pt>
                <c:pt idx="123">
                  <c:v>480</c:v>
                </c:pt>
                <c:pt idx="124">
                  <c:v>350</c:v>
                </c:pt>
                <c:pt idx="125">
                  <c:v>290</c:v>
                </c:pt>
                <c:pt idx="126">
                  <c:v>390</c:v>
                </c:pt>
                <c:pt idx="127">
                  <c:v>290</c:v>
                </c:pt>
                <c:pt idx="128">
                  <c:v>240</c:v>
                </c:pt>
                <c:pt idx="129">
                  <c:v>370</c:v>
                </c:pt>
                <c:pt idx="130">
                  <c:v>270</c:v>
                </c:pt>
                <c:pt idx="131">
                  <c:v>230</c:v>
                </c:pt>
                <c:pt idx="132">
                  <c:v>0</c:v>
                </c:pt>
                <c:pt idx="133">
                  <c:v>0</c:v>
                </c:pt>
                <c:pt idx="134">
                  <c:v>0</c:v>
                </c:pt>
                <c:pt idx="135">
                  <c:v>0</c:v>
                </c:pt>
                <c:pt idx="136">
                  <c:v>430</c:v>
                </c:pt>
                <c:pt idx="137">
                  <c:v>110</c:v>
                </c:pt>
                <c:pt idx="138">
                  <c:v>45</c:v>
                </c:pt>
                <c:pt idx="139">
                  <c:v>510</c:v>
                </c:pt>
                <c:pt idx="140">
                  <c:v>280</c:v>
                </c:pt>
                <c:pt idx="141">
                  <c:v>210</c:v>
                </c:pt>
                <c:pt idx="142">
                  <c:v>170</c:v>
                </c:pt>
                <c:pt idx="143">
                  <c:v>330</c:v>
                </c:pt>
                <c:pt idx="144">
                  <c:v>260</c:v>
                </c:pt>
                <c:pt idx="145">
                  <c:v>210</c:v>
                </c:pt>
                <c:pt idx="146">
                  <c:v>340</c:v>
                </c:pt>
                <c:pt idx="147">
                  <c:v>260</c:v>
                </c:pt>
                <c:pt idx="148">
                  <c:v>210</c:v>
                </c:pt>
                <c:pt idx="149">
                  <c:v>360</c:v>
                </c:pt>
                <c:pt idx="150">
                  <c:v>380</c:v>
                </c:pt>
                <c:pt idx="151">
                  <c:v>930</c:v>
                </c:pt>
                <c:pt idx="152">
                  <c:v>650</c:v>
                </c:pt>
                <c:pt idx="153">
                  <c:v>430</c:v>
                </c:pt>
                <c:pt idx="154">
                  <c:v>690</c:v>
                </c:pt>
                <c:pt idx="155">
                  <c:v>510</c:v>
                </c:pt>
                <c:pt idx="156">
                  <c:v>340</c:v>
                </c:pt>
                <c:pt idx="157">
                  <c:v>810</c:v>
                </c:pt>
                <c:pt idx="158">
                  <c:v>410</c:v>
                </c:pt>
                <c:pt idx="159">
                  <c:v>500</c:v>
                </c:pt>
                <c:pt idx="160">
                  <c:v>340</c:v>
                </c:pt>
                <c:pt idx="161">
                  <c:v>80</c:v>
                </c:pt>
                <c:pt idx="162">
                  <c:v>280</c:v>
                </c:pt>
                <c:pt idx="163">
                  <c:v>190</c:v>
                </c:pt>
                <c:pt idx="164">
                  <c:v>150</c:v>
                </c:pt>
                <c:pt idx="165">
                  <c:v>500</c:v>
                </c:pt>
                <c:pt idx="166">
                  <c:v>410</c:v>
                </c:pt>
                <c:pt idx="167">
                  <c:v>340</c:v>
                </c:pt>
                <c:pt idx="168">
                  <c:v>390</c:v>
                </c:pt>
                <c:pt idx="169">
                  <c:v>330</c:v>
                </c:pt>
                <c:pt idx="170">
                  <c:v>270</c:v>
                </c:pt>
                <c:pt idx="171">
                  <c:v>310</c:v>
                </c:pt>
                <c:pt idx="172">
                  <c:v>250</c:v>
                </c:pt>
                <c:pt idx="173">
                  <c:v>200</c:v>
                </c:pt>
                <c:pt idx="174">
                  <c:v>370</c:v>
                </c:pt>
                <c:pt idx="175">
                  <c:v>310</c:v>
                </c:pt>
                <c:pt idx="176">
                  <c:v>250</c:v>
                </c:pt>
                <c:pt idx="177">
                  <c:v>300</c:v>
                </c:pt>
                <c:pt idx="178">
                  <c:v>240</c:v>
                </c:pt>
                <c:pt idx="179">
                  <c:v>190</c:v>
                </c:pt>
                <c:pt idx="180">
                  <c:v>310</c:v>
                </c:pt>
                <c:pt idx="181">
                  <c:v>250</c:v>
                </c:pt>
                <c:pt idx="182">
                  <c:v>200</c:v>
                </c:pt>
                <c:pt idx="183">
                  <c:v>170</c:v>
                </c:pt>
                <c:pt idx="184">
                  <c:v>130</c:v>
                </c:pt>
                <c:pt idx="185">
                  <c:v>100</c:v>
                </c:pt>
                <c:pt idx="186">
                  <c:v>220</c:v>
                </c:pt>
                <c:pt idx="187">
                  <c:v>170</c:v>
                </c:pt>
                <c:pt idx="188">
                  <c:v>140</c:v>
                </c:pt>
                <c:pt idx="189">
                  <c:v>150</c:v>
                </c:pt>
                <c:pt idx="190">
                  <c:v>140</c:v>
                </c:pt>
                <c:pt idx="191">
                  <c:v>380</c:v>
                </c:pt>
                <c:pt idx="192">
                  <c:v>220</c:v>
                </c:pt>
                <c:pt idx="193">
                  <c:v>510</c:v>
                </c:pt>
                <c:pt idx="194">
                  <c:v>670</c:v>
                </c:pt>
                <c:pt idx="195">
                  <c:v>610</c:v>
                </c:pt>
                <c:pt idx="196">
                  <c:v>350</c:v>
                </c:pt>
                <c:pt idx="197">
                  <c:v>510</c:v>
                </c:pt>
                <c:pt idx="198">
                  <c:v>450</c:v>
                </c:pt>
                <c:pt idx="199">
                  <c:v>630</c:v>
                </c:pt>
                <c:pt idx="200">
                  <c:v>480</c:v>
                </c:pt>
                <c:pt idx="201">
                  <c:v>610</c:v>
                </c:pt>
                <c:pt idx="202">
                  <c:v>450</c:v>
                </c:pt>
                <c:pt idx="203">
                  <c:v>540</c:v>
                </c:pt>
                <c:pt idx="204">
                  <c:v>380</c:v>
                </c:pt>
                <c:pt idx="205">
                  <c:v>670</c:v>
                </c:pt>
                <c:pt idx="206">
                  <c:v>520</c:v>
                </c:pt>
                <c:pt idx="207">
                  <c:v>140</c:v>
                </c:pt>
                <c:pt idx="208">
                  <c:v>450</c:v>
                </c:pt>
                <c:pt idx="209">
                  <c:v>290</c:v>
                </c:pt>
                <c:pt idx="210">
                  <c:v>540</c:v>
                </c:pt>
                <c:pt idx="211">
                  <c:v>600</c:v>
                </c:pt>
                <c:pt idx="212">
                  <c:v>610</c:v>
                </c:pt>
                <c:pt idx="213">
                  <c:v>520</c:v>
                </c:pt>
                <c:pt idx="214">
                  <c:v>360</c:v>
                </c:pt>
                <c:pt idx="215">
                  <c:v>280</c:v>
                </c:pt>
                <c:pt idx="216">
                  <c:v>270</c:v>
                </c:pt>
                <c:pt idx="217">
                  <c:v>190</c:v>
                </c:pt>
                <c:pt idx="218">
                  <c:v>140</c:v>
                </c:pt>
                <c:pt idx="219">
                  <c:v>480</c:v>
                </c:pt>
                <c:pt idx="220">
                  <c:v>430</c:v>
                </c:pt>
                <c:pt idx="221">
                  <c:v>570</c:v>
                </c:pt>
                <c:pt idx="222">
                  <c:v>510</c:v>
                </c:pt>
                <c:pt idx="223">
                  <c:v>520</c:v>
                </c:pt>
                <c:pt idx="224">
                  <c:v>460</c:v>
                </c:pt>
                <c:pt idx="225">
                  <c:v>300</c:v>
                </c:pt>
                <c:pt idx="226">
                  <c:v>420</c:v>
                </c:pt>
                <c:pt idx="227">
                  <c:v>370</c:v>
                </c:pt>
                <c:pt idx="228">
                  <c:v>450</c:v>
                </c:pt>
                <c:pt idx="229">
                  <c:v>400</c:v>
                </c:pt>
                <c:pt idx="230">
                  <c:v>550</c:v>
                </c:pt>
                <c:pt idx="231">
                  <c:v>500</c:v>
                </c:pt>
                <c:pt idx="232">
                  <c:v>820</c:v>
                </c:pt>
                <c:pt idx="233">
                  <c:v>660</c:v>
                </c:pt>
                <c:pt idx="234">
                  <c:v>20</c:v>
                </c:pt>
                <c:pt idx="235">
                  <c:v>230</c:v>
                </c:pt>
                <c:pt idx="236">
                  <c:v>470</c:v>
                </c:pt>
                <c:pt idx="237">
                  <c:v>410</c:v>
                </c:pt>
                <c:pt idx="238">
                  <c:v>430</c:v>
                </c:pt>
                <c:pt idx="239">
                  <c:v>100</c:v>
                </c:pt>
                <c:pt idx="240">
                  <c:v>280</c:v>
                </c:pt>
                <c:pt idx="241">
                  <c:v>200</c:v>
                </c:pt>
                <c:pt idx="242">
                  <c:v>140</c:v>
                </c:pt>
                <c:pt idx="243">
                  <c:v>540</c:v>
                </c:pt>
                <c:pt idx="244">
                  <c:v>430</c:v>
                </c:pt>
                <c:pt idx="245">
                  <c:v>670</c:v>
                </c:pt>
                <c:pt idx="246">
                  <c:v>330</c:v>
                </c:pt>
                <c:pt idx="247">
                  <c:v>250</c:v>
                </c:pt>
                <c:pt idx="248">
                  <c:v>210</c:v>
                </c:pt>
                <c:pt idx="249">
                  <c:v>850</c:v>
                </c:pt>
                <c:pt idx="250">
                  <c:v>690</c:v>
                </c:pt>
                <c:pt idx="251">
                  <c:v>550</c:v>
                </c:pt>
                <c:pt idx="252">
                  <c:v>280</c:v>
                </c:pt>
                <c:pt idx="253">
                  <c:v>110</c:v>
                </c:pt>
                <c:pt idx="254">
                  <c:v>220</c:v>
                </c:pt>
                <c:pt idx="255">
                  <c:v>180</c:v>
                </c:pt>
                <c:pt idx="256">
                  <c:v>150</c:v>
                </c:pt>
                <c:pt idx="257">
                  <c:v>820</c:v>
                </c:pt>
                <c:pt idx="258">
                  <c:v>660</c:v>
                </c:pt>
                <c:pt idx="259">
                  <c:v>530</c:v>
                </c:pt>
              </c:numCache>
            </c:numRef>
          </c:xVal>
          <c:yVal>
            <c:numRef>
              <c:f>'Calorie vs CalorieFromFat'!$G$4:$G$263</c:f>
              <c:numCache>
                <c:formatCode>General</c:formatCode>
                <c:ptCount val="260"/>
                <c:pt idx="0">
                  <c:v>20</c:v>
                </c:pt>
                <c:pt idx="1">
                  <c:v>0</c:v>
                </c:pt>
                <c:pt idx="2">
                  <c:v>190</c:v>
                </c:pt>
                <c:pt idx="3">
                  <c:v>220</c:v>
                </c:pt>
                <c:pt idx="4">
                  <c:v>360</c:v>
                </c:pt>
                <c:pt idx="5">
                  <c:v>340</c:v>
                </c:pt>
                <c:pt idx="6">
                  <c:v>230</c:v>
                </c:pt>
                <c:pt idx="7">
                  <c:v>200</c:v>
                </c:pt>
                <c:pt idx="8">
                  <c:v>280</c:v>
                </c:pt>
                <c:pt idx="9">
                  <c:v>230</c:v>
                </c:pt>
                <c:pt idx="10">
                  <c:v>270</c:v>
                </c:pt>
                <c:pt idx="11">
                  <c:v>230</c:v>
                </c:pt>
                <c:pt idx="12">
                  <c:v>220</c:v>
                </c:pt>
                <c:pt idx="13">
                  <c:v>180</c:v>
                </c:pt>
                <c:pt idx="14">
                  <c:v>190</c:v>
                </c:pt>
                <c:pt idx="15">
                  <c:v>140</c:v>
                </c:pt>
                <c:pt idx="16">
                  <c:v>110</c:v>
                </c:pt>
                <c:pt idx="17">
                  <c:v>470</c:v>
                </c:pt>
                <c:pt idx="18">
                  <c:v>430</c:v>
                </c:pt>
                <c:pt idx="19">
                  <c:v>370</c:v>
                </c:pt>
                <c:pt idx="20">
                  <c:v>330</c:v>
                </c:pt>
                <c:pt idx="21">
                  <c:v>540</c:v>
                </c:pt>
                <c:pt idx="22">
                  <c:v>510</c:v>
                </c:pt>
                <c:pt idx="23">
                  <c:v>450</c:v>
                </c:pt>
                <c:pt idx="24">
                  <c:v>410</c:v>
                </c:pt>
                <c:pt idx="25">
                  <c:v>240</c:v>
                </c:pt>
                <c:pt idx="26">
                  <c:v>10</c:v>
                </c:pt>
                <c:pt idx="27">
                  <c:v>5</c:v>
                </c:pt>
                <c:pt idx="28">
                  <c:v>5</c:v>
                </c:pt>
                <c:pt idx="29">
                  <c:v>150</c:v>
                </c:pt>
                <c:pt idx="30">
                  <c:v>80</c:v>
                </c:pt>
                <c:pt idx="31">
                  <c:v>60</c:v>
                </c:pt>
                <c:pt idx="32">
                  <c:v>40</c:v>
                </c:pt>
                <c:pt idx="33">
                  <c:v>120</c:v>
                </c:pt>
                <c:pt idx="34">
                  <c:v>90</c:v>
                </c:pt>
                <c:pt idx="35">
                  <c:v>80</c:v>
                </c:pt>
                <c:pt idx="36">
                  <c:v>150</c:v>
                </c:pt>
                <c:pt idx="37">
                  <c:v>120</c:v>
                </c:pt>
                <c:pt idx="38">
                  <c:v>100</c:v>
                </c:pt>
                <c:pt idx="39">
                  <c:v>100</c:v>
                </c:pt>
                <c:pt idx="40">
                  <c:v>270</c:v>
                </c:pt>
                <c:pt idx="41">
                  <c:v>530</c:v>
                </c:pt>
                <c:pt idx="42">
                  <c:v>110</c:v>
                </c:pt>
                <c:pt idx="43">
                  <c:v>1060</c:v>
                </c:pt>
                <c:pt idx="44">
                  <c:v>160</c:v>
                </c:pt>
                <c:pt idx="45">
                  <c:v>130</c:v>
                </c:pt>
                <c:pt idx="46">
                  <c:v>70</c:v>
                </c:pt>
                <c:pt idx="47">
                  <c:v>70</c:v>
                </c:pt>
                <c:pt idx="48">
                  <c:v>210</c:v>
                </c:pt>
                <c:pt idx="49">
                  <c:v>180</c:v>
                </c:pt>
                <c:pt idx="50">
                  <c:v>150</c:v>
                </c:pt>
                <c:pt idx="51">
                  <c:v>170</c:v>
                </c:pt>
                <c:pt idx="52">
                  <c:v>0</c:v>
                </c:pt>
                <c:pt idx="53">
                  <c:v>0</c:v>
                </c:pt>
                <c:pt idx="54">
                  <c:v>0</c:v>
                </c:pt>
                <c:pt idx="55">
                  <c:v>0</c:v>
                </c:pt>
                <c:pt idx="56">
                  <c:v>0</c:v>
                </c:pt>
                <c:pt idx="57">
                  <c:v>0</c:v>
                </c:pt>
                <c:pt idx="58">
                  <c:v>0</c:v>
                </c:pt>
                <c:pt idx="59">
                  <c:v>200</c:v>
                </c:pt>
                <c:pt idx="60">
                  <c:v>0</c:v>
                </c:pt>
                <c:pt idx="61">
                  <c:v>0</c:v>
                </c:pt>
                <c:pt idx="62">
                  <c:v>0</c:v>
                </c:pt>
                <c:pt idx="63">
                  <c:v>0</c:v>
                </c:pt>
                <c:pt idx="64">
                  <c:v>0</c:v>
                </c:pt>
                <c:pt idx="65">
                  <c:v>0</c:v>
                </c:pt>
                <c:pt idx="66">
                  <c:v>0</c:v>
                </c:pt>
                <c:pt idx="67">
                  <c:v>0</c:v>
                </c:pt>
                <c:pt idx="68">
                  <c:v>0</c:v>
                </c:pt>
                <c:pt idx="69">
                  <c:v>190</c:v>
                </c:pt>
                <c:pt idx="70">
                  <c:v>380</c:v>
                </c:pt>
                <c:pt idx="71">
                  <c:v>0</c:v>
                </c:pt>
                <c:pt idx="72">
                  <c:v>0</c:v>
                </c:pt>
                <c:pt idx="73">
                  <c:v>0</c:v>
                </c:pt>
                <c:pt idx="74">
                  <c:v>0</c:v>
                </c:pt>
                <c:pt idx="75">
                  <c:v>120</c:v>
                </c:pt>
                <c:pt idx="76">
                  <c:v>70</c:v>
                </c:pt>
                <c:pt idx="77">
                  <c:v>0</c:v>
                </c:pt>
                <c:pt idx="78">
                  <c:v>170</c:v>
                </c:pt>
                <c:pt idx="79">
                  <c:v>250</c:v>
                </c:pt>
                <c:pt idx="80">
                  <c:v>200</c:v>
                </c:pt>
                <c:pt idx="81">
                  <c:v>170</c:v>
                </c:pt>
                <c:pt idx="82">
                  <c:v>280</c:v>
                </c:pt>
                <c:pt idx="83">
                  <c:v>240</c:v>
                </c:pt>
                <c:pt idx="84">
                  <c:v>200</c:v>
                </c:pt>
                <c:pt idx="85">
                  <c:v>240</c:v>
                </c:pt>
                <c:pt idx="86">
                  <c:v>200</c:v>
                </c:pt>
                <c:pt idx="87">
                  <c:v>160</c:v>
                </c:pt>
                <c:pt idx="88">
                  <c:v>80</c:v>
                </c:pt>
                <c:pt idx="89">
                  <c:v>60</c:v>
                </c:pt>
                <c:pt idx="90">
                  <c:v>40</c:v>
                </c:pt>
                <c:pt idx="91">
                  <c:v>120</c:v>
                </c:pt>
                <c:pt idx="92">
                  <c:v>90</c:v>
                </c:pt>
                <c:pt idx="93">
                  <c:v>80</c:v>
                </c:pt>
                <c:pt idx="94">
                  <c:v>35</c:v>
                </c:pt>
                <c:pt idx="95">
                  <c:v>40</c:v>
                </c:pt>
                <c:pt idx="96">
                  <c:v>20</c:v>
                </c:pt>
                <c:pt idx="97">
                  <c:v>70</c:v>
                </c:pt>
                <c:pt idx="98">
                  <c:v>80</c:v>
                </c:pt>
                <c:pt idx="99">
                  <c:v>80</c:v>
                </c:pt>
                <c:pt idx="100">
                  <c:v>60</c:v>
                </c:pt>
                <c:pt idx="101">
                  <c:v>40</c:v>
                </c:pt>
                <c:pt idx="102">
                  <c:v>120</c:v>
                </c:pt>
                <c:pt idx="103">
                  <c:v>90</c:v>
                </c:pt>
                <c:pt idx="104">
                  <c:v>80</c:v>
                </c:pt>
                <c:pt idx="105">
                  <c:v>130</c:v>
                </c:pt>
                <c:pt idx="106">
                  <c:v>70</c:v>
                </c:pt>
                <c:pt idx="107">
                  <c:v>70</c:v>
                </c:pt>
                <c:pt idx="108">
                  <c:v>180</c:v>
                </c:pt>
                <c:pt idx="109">
                  <c:v>140</c:v>
                </c:pt>
                <c:pt idx="110">
                  <c:v>120</c:v>
                </c:pt>
                <c:pt idx="111">
                  <c:v>35</c:v>
                </c:pt>
                <c:pt idx="112">
                  <c:v>30</c:v>
                </c:pt>
                <c:pt idx="113">
                  <c:v>30</c:v>
                </c:pt>
                <c:pt idx="114">
                  <c:v>80</c:v>
                </c:pt>
                <c:pt idx="115">
                  <c:v>80</c:v>
                </c:pt>
                <c:pt idx="116">
                  <c:v>210</c:v>
                </c:pt>
                <c:pt idx="117">
                  <c:v>150</c:v>
                </c:pt>
                <c:pt idx="118">
                  <c:v>110</c:v>
                </c:pt>
                <c:pt idx="119">
                  <c:v>100</c:v>
                </c:pt>
                <c:pt idx="120">
                  <c:v>80</c:v>
                </c:pt>
                <c:pt idx="121">
                  <c:v>60</c:v>
                </c:pt>
                <c:pt idx="122">
                  <c:v>40</c:v>
                </c:pt>
                <c:pt idx="123">
                  <c:v>150</c:v>
                </c:pt>
                <c:pt idx="124">
                  <c:v>110</c:v>
                </c:pt>
                <c:pt idx="125">
                  <c:v>100</c:v>
                </c:pt>
                <c:pt idx="126">
                  <c:v>50</c:v>
                </c:pt>
                <c:pt idx="127">
                  <c:v>45</c:v>
                </c:pt>
                <c:pt idx="128">
                  <c:v>45</c:v>
                </c:pt>
                <c:pt idx="129">
                  <c:v>50</c:v>
                </c:pt>
                <c:pt idx="130">
                  <c:v>45</c:v>
                </c:pt>
                <c:pt idx="131">
                  <c:v>45</c:v>
                </c:pt>
                <c:pt idx="132">
                  <c:v>0</c:v>
                </c:pt>
                <c:pt idx="133">
                  <c:v>0</c:v>
                </c:pt>
                <c:pt idx="134">
                  <c:v>0</c:v>
                </c:pt>
                <c:pt idx="135">
                  <c:v>0</c:v>
                </c:pt>
                <c:pt idx="136">
                  <c:v>210</c:v>
                </c:pt>
                <c:pt idx="137">
                  <c:v>50</c:v>
                </c:pt>
                <c:pt idx="138">
                  <c:v>10</c:v>
                </c:pt>
                <c:pt idx="139">
                  <c:v>220</c:v>
                </c:pt>
                <c:pt idx="140">
                  <c:v>120</c:v>
                </c:pt>
                <c:pt idx="141">
                  <c:v>90</c:v>
                </c:pt>
                <c:pt idx="142">
                  <c:v>80</c:v>
                </c:pt>
                <c:pt idx="143">
                  <c:v>120</c:v>
                </c:pt>
                <c:pt idx="144">
                  <c:v>90</c:v>
                </c:pt>
                <c:pt idx="145">
                  <c:v>80</c:v>
                </c:pt>
                <c:pt idx="146">
                  <c:v>10</c:v>
                </c:pt>
                <c:pt idx="147">
                  <c:v>10</c:v>
                </c:pt>
                <c:pt idx="148">
                  <c:v>5</c:v>
                </c:pt>
                <c:pt idx="149">
                  <c:v>140</c:v>
                </c:pt>
                <c:pt idx="150">
                  <c:v>150</c:v>
                </c:pt>
                <c:pt idx="151">
                  <c:v>290</c:v>
                </c:pt>
                <c:pt idx="152">
                  <c:v>210</c:v>
                </c:pt>
                <c:pt idx="153">
                  <c:v>140</c:v>
                </c:pt>
                <c:pt idx="154">
                  <c:v>200</c:v>
                </c:pt>
                <c:pt idx="155">
                  <c:v>150</c:v>
                </c:pt>
                <c:pt idx="156">
                  <c:v>100</c:v>
                </c:pt>
                <c:pt idx="157">
                  <c:v>290</c:v>
                </c:pt>
                <c:pt idx="158">
                  <c:v>150</c:v>
                </c:pt>
                <c:pt idx="159">
                  <c:v>240</c:v>
                </c:pt>
                <c:pt idx="160">
                  <c:v>140</c:v>
                </c:pt>
                <c:pt idx="161">
                  <c:v>0</c:v>
                </c:pt>
                <c:pt idx="162">
                  <c:v>0</c:v>
                </c:pt>
                <c:pt idx="163">
                  <c:v>0</c:v>
                </c:pt>
                <c:pt idx="164">
                  <c:v>0</c:v>
                </c:pt>
                <c:pt idx="165">
                  <c:v>150</c:v>
                </c:pt>
                <c:pt idx="166">
                  <c:v>120</c:v>
                </c:pt>
                <c:pt idx="167">
                  <c:v>100</c:v>
                </c:pt>
                <c:pt idx="168">
                  <c:v>35</c:v>
                </c:pt>
                <c:pt idx="169">
                  <c:v>30</c:v>
                </c:pt>
                <c:pt idx="170">
                  <c:v>30</c:v>
                </c:pt>
                <c:pt idx="171">
                  <c:v>0</c:v>
                </c:pt>
                <c:pt idx="172">
                  <c:v>0</c:v>
                </c:pt>
                <c:pt idx="173">
                  <c:v>0</c:v>
                </c:pt>
                <c:pt idx="174">
                  <c:v>35</c:v>
                </c:pt>
                <c:pt idx="175">
                  <c:v>30</c:v>
                </c:pt>
                <c:pt idx="176">
                  <c:v>30</c:v>
                </c:pt>
                <c:pt idx="177">
                  <c:v>0</c:v>
                </c:pt>
                <c:pt idx="178">
                  <c:v>0</c:v>
                </c:pt>
                <c:pt idx="179">
                  <c:v>0</c:v>
                </c:pt>
                <c:pt idx="180">
                  <c:v>0</c:v>
                </c:pt>
                <c:pt idx="181">
                  <c:v>0</c:v>
                </c:pt>
                <c:pt idx="182">
                  <c:v>0</c:v>
                </c:pt>
                <c:pt idx="183">
                  <c:v>0</c:v>
                </c:pt>
                <c:pt idx="184">
                  <c:v>0</c:v>
                </c:pt>
                <c:pt idx="185">
                  <c:v>0</c:v>
                </c:pt>
                <c:pt idx="186">
                  <c:v>0</c:v>
                </c:pt>
                <c:pt idx="187">
                  <c:v>0</c:v>
                </c:pt>
                <c:pt idx="188">
                  <c:v>0</c:v>
                </c:pt>
                <c:pt idx="189">
                  <c:v>50</c:v>
                </c:pt>
                <c:pt idx="190">
                  <c:v>70</c:v>
                </c:pt>
                <c:pt idx="191">
                  <c:v>190</c:v>
                </c:pt>
                <c:pt idx="192">
                  <c:v>80</c:v>
                </c:pt>
                <c:pt idx="193">
                  <c:v>200</c:v>
                </c:pt>
                <c:pt idx="194">
                  <c:v>300</c:v>
                </c:pt>
                <c:pt idx="195">
                  <c:v>250</c:v>
                </c:pt>
                <c:pt idx="196">
                  <c:v>80</c:v>
                </c:pt>
                <c:pt idx="197">
                  <c:v>180</c:v>
                </c:pt>
                <c:pt idx="198">
                  <c:v>130</c:v>
                </c:pt>
                <c:pt idx="199">
                  <c:v>280</c:v>
                </c:pt>
                <c:pt idx="200">
                  <c:v>170</c:v>
                </c:pt>
                <c:pt idx="201">
                  <c:v>280</c:v>
                </c:pt>
                <c:pt idx="202">
                  <c:v>160</c:v>
                </c:pt>
                <c:pt idx="203">
                  <c:v>200</c:v>
                </c:pt>
                <c:pt idx="204">
                  <c:v>90</c:v>
                </c:pt>
                <c:pt idx="205">
                  <c:v>300</c:v>
                </c:pt>
                <c:pt idx="206">
                  <c:v>180</c:v>
                </c:pt>
                <c:pt idx="207">
                  <c:v>40</c:v>
                </c:pt>
                <c:pt idx="208">
                  <c:v>190</c:v>
                </c:pt>
                <c:pt idx="209">
                  <c:v>80</c:v>
                </c:pt>
                <c:pt idx="210">
                  <c:v>250</c:v>
                </c:pt>
                <c:pt idx="211">
                  <c:v>260</c:v>
                </c:pt>
                <c:pt idx="212">
                  <c:v>280</c:v>
                </c:pt>
                <c:pt idx="213">
                  <c:v>240</c:v>
                </c:pt>
                <c:pt idx="214">
                  <c:v>180</c:v>
                </c:pt>
                <c:pt idx="215">
                  <c:v>120</c:v>
                </c:pt>
                <c:pt idx="216">
                  <c:v>80</c:v>
                </c:pt>
                <c:pt idx="217">
                  <c:v>60</c:v>
                </c:pt>
                <c:pt idx="218">
                  <c:v>40</c:v>
                </c:pt>
                <c:pt idx="219">
                  <c:v>280</c:v>
                </c:pt>
                <c:pt idx="220">
                  <c:v>240</c:v>
                </c:pt>
                <c:pt idx="221">
                  <c:v>330</c:v>
                </c:pt>
                <c:pt idx="222">
                  <c:v>290</c:v>
                </c:pt>
                <c:pt idx="223">
                  <c:v>280</c:v>
                </c:pt>
                <c:pt idx="224">
                  <c:v>250</c:v>
                </c:pt>
                <c:pt idx="225">
                  <c:v>150</c:v>
                </c:pt>
                <c:pt idx="226">
                  <c:v>200</c:v>
                </c:pt>
                <c:pt idx="227">
                  <c:v>200</c:v>
                </c:pt>
                <c:pt idx="228">
                  <c:v>250</c:v>
                </c:pt>
                <c:pt idx="229">
                  <c:v>210</c:v>
                </c:pt>
                <c:pt idx="230">
                  <c:v>280</c:v>
                </c:pt>
                <c:pt idx="231">
                  <c:v>230</c:v>
                </c:pt>
                <c:pt idx="232">
                  <c:v>210</c:v>
                </c:pt>
                <c:pt idx="233">
                  <c:v>170</c:v>
                </c:pt>
                <c:pt idx="234">
                  <c:v>0</c:v>
                </c:pt>
                <c:pt idx="235">
                  <c:v>100</c:v>
                </c:pt>
                <c:pt idx="236">
                  <c:v>220</c:v>
                </c:pt>
                <c:pt idx="237">
                  <c:v>180</c:v>
                </c:pt>
                <c:pt idx="238">
                  <c:v>170</c:v>
                </c:pt>
                <c:pt idx="239">
                  <c:v>0</c:v>
                </c:pt>
                <c:pt idx="240">
                  <c:v>0</c:v>
                </c:pt>
                <c:pt idx="241">
                  <c:v>0</c:v>
                </c:pt>
                <c:pt idx="242">
                  <c:v>0</c:v>
                </c:pt>
                <c:pt idx="243">
                  <c:v>290</c:v>
                </c:pt>
                <c:pt idx="244">
                  <c:v>210</c:v>
                </c:pt>
                <c:pt idx="245">
                  <c:v>310</c:v>
                </c:pt>
                <c:pt idx="246">
                  <c:v>10</c:v>
                </c:pt>
                <c:pt idx="247">
                  <c:v>5</c:v>
                </c:pt>
                <c:pt idx="248">
                  <c:v>5</c:v>
                </c:pt>
                <c:pt idx="249">
                  <c:v>210</c:v>
                </c:pt>
                <c:pt idx="250">
                  <c:v>180</c:v>
                </c:pt>
                <c:pt idx="251">
                  <c:v>150</c:v>
                </c:pt>
                <c:pt idx="252">
                  <c:v>60</c:v>
                </c:pt>
                <c:pt idx="253">
                  <c:v>0</c:v>
                </c:pt>
                <c:pt idx="254">
                  <c:v>0</c:v>
                </c:pt>
                <c:pt idx="255">
                  <c:v>0</c:v>
                </c:pt>
                <c:pt idx="256">
                  <c:v>0</c:v>
                </c:pt>
                <c:pt idx="257">
                  <c:v>210</c:v>
                </c:pt>
                <c:pt idx="258">
                  <c:v>170</c:v>
                </c:pt>
                <c:pt idx="259">
                  <c:v>140</c:v>
                </c:pt>
              </c:numCache>
            </c:numRef>
          </c:yVal>
          <c:smooth val="0"/>
          <c:extLst>
            <c:ext xmlns:c16="http://schemas.microsoft.com/office/drawing/2014/chart" uri="{C3380CC4-5D6E-409C-BE32-E72D297353CC}">
              <c16:uniqueId val="{00000000-3CDE-471D-900B-5CA4C77000A5}"/>
            </c:ext>
          </c:extLst>
        </c:ser>
        <c:dLbls>
          <c:showLegendKey val="0"/>
          <c:showVal val="0"/>
          <c:showCatName val="0"/>
          <c:showSerName val="0"/>
          <c:showPercent val="0"/>
          <c:showBubbleSize val="0"/>
        </c:dLbls>
        <c:axId val="82552544"/>
        <c:axId val="82575584"/>
      </c:scatterChart>
      <c:valAx>
        <c:axId val="8255254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r>
                  <a:rPr lang="en-IN"/>
                  <a:t>Calories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82575584"/>
        <c:crosses val="autoZero"/>
        <c:crossBetween val="midCat"/>
        <c:majorUnit val="200"/>
      </c:valAx>
      <c:valAx>
        <c:axId val="82575584"/>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r>
                  <a:rPr lang="en-IN"/>
                  <a:t>Calories from fat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825525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69000">
          <a:srgbClr val="FB7A65"/>
        </a:gs>
        <a:gs pos="0">
          <a:srgbClr val="FF0000"/>
        </a:gs>
        <a:gs pos="100000">
          <a:srgbClr val="FB7A65"/>
        </a:gs>
      </a:gsLst>
      <a:lin ang="5400000" scaled="1"/>
    </a:gradFill>
    <a:ln w="9525" cap="flat" cmpd="sng" algn="ctr">
      <a:solidFill>
        <a:srgbClr val="FFC000"/>
      </a:solidFill>
      <a:round/>
    </a:ln>
    <a:effectLst/>
  </c:spPr>
  <c:txPr>
    <a:bodyPr/>
    <a:lstStyle/>
    <a:p>
      <a:pPr>
        <a:defRPr b="1">
          <a:solidFill>
            <a:schemeClr val="bg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1" i="0" u="none" strike="noStrike" kern="1200" spc="0" baseline="0">
                <a:solidFill>
                  <a:sysClr val="window" lastClr="FFFFFF"/>
                </a:solidFill>
                <a:latin typeface="Arial Black" panose="020B0A04020102020204" pitchFamily="34" charset="0"/>
                <a:ea typeface="+mn-ea"/>
                <a:cs typeface="+mn-cs"/>
              </a:defRPr>
            </a:pPr>
            <a:r>
              <a:rPr lang="en-US" sz="1400" b="1" i="0" u="none" strike="noStrike" kern="1200" spc="0" baseline="0">
                <a:solidFill>
                  <a:sysClr val="window" lastClr="FFFFFF"/>
                </a:solidFill>
                <a:latin typeface="Arial Black" panose="020B0A04020102020204" pitchFamily="34" charset="0"/>
                <a:ea typeface="+mn-ea"/>
                <a:cs typeface="+mn-cs"/>
              </a:rPr>
              <a:t>Items with more than 50% Fat</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ysClr val="window" lastClr="FFFFFF"/>
              </a:solidFill>
              <a:latin typeface="Arial Black" panose="020B0A04020102020204" pitchFamily="34" charset="0"/>
              <a:ea typeface="+mn-ea"/>
              <a:cs typeface="+mn-cs"/>
            </a:defRPr>
          </a:pPr>
          <a:endParaRPr lang="en-US"/>
        </a:p>
      </c:txPr>
    </c:title>
    <c:autoTitleDeleted val="0"/>
    <c:plotArea>
      <c:layout/>
      <c:barChart>
        <c:barDir val="bar"/>
        <c:grouping val="clustered"/>
        <c:varyColors val="0"/>
        <c:ser>
          <c:idx val="0"/>
          <c:order val="0"/>
          <c:tx>
            <c:strRef>
              <c:f>FatCaloriePercent!$F$3</c:f>
              <c:strCache>
                <c:ptCount val="1"/>
                <c:pt idx="0">
                  <c:v>FatCaloriesPercent</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FatCaloriePercent!$E$4:$E$20</c:f>
              <c:strCache>
                <c:ptCount val="17"/>
                <c:pt idx="0">
                  <c:v>Big Breakfast (Large Biscuit)</c:v>
                </c:pt>
                <c:pt idx="1">
                  <c:v>Sausage Biscuit (Large Biscuit)</c:v>
                </c:pt>
                <c:pt idx="2">
                  <c:v>Big Breakfast (Regular Biscuit)</c:v>
                </c:pt>
                <c:pt idx="3">
                  <c:v>Sausage Biscuit with Egg (Large Biscuit)</c:v>
                </c:pt>
                <c:pt idx="4">
                  <c:v>Sausage Biscuit with Egg (Regular Biscuit)</c:v>
                </c:pt>
                <c:pt idx="5">
                  <c:v>Sausage Biscuit (Regular Biscuit)</c:v>
                </c:pt>
                <c:pt idx="6">
                  <c:v>Sausage McMuffin with Egg</c:v>
                </c:pt>
                <c:pt idx="7">
                  <c:v>Sausage Biscuit with Egg Whites (Regular Biscuit)</c:v>
                </c:pt>
                <c:pt idx="8">
                  <c:v>Sausage McMuffin</c:v>
                </c:pt>
                <c:pt idx="9">
                  <c:v>Sausage Biscuit with Egg Whites (Large Biscuit)</c:v>
                </c:pt>
                <c:pt idx="10">
                  <c:v>Steak &amp; Egg Biscuit (Regular Biscuit)</c:v>
                </c:pt>
                <c:pt idx="11">
                  <c:v>Big Breakfast with Egg Whites (Large Biscuit)</c:v>
                </c:pt>
                <c:pt idx="12">
                  <c:v>Hash Brown</c:v>
                </c:pt>
                <c:pt idx="13">
                  <c:v>Sausage McMuffin with Egg Whites</c:v>
                </c:pt>
                <c:pt idx="14">
                  <c:v>Bacon, Egg &amp; Cheese Biscuit (Large Biscuit)</c:v>
                </c:pt>
                <c:pt idx="15">
                  <c:v>Big Breakfast with Egg Whites (Regular Biscuit)</c:v>
                </c:pt>
                <c:pt idx="16">
                  <c:v>Sausage, Egg &amp; Cheese McGriddles</c:v>
                </c:pt>
              </c:strCache>
            </c:strRef>
          </c:cat>
          <c:val>
            <c:numRef>
              <c:f>FatCaloriePercent!$F$4:$F$20</c:f>
              <c:numCache>
                <c:formatCode>0%</c:formatCode>
                <c:ptCount val="17"/>
                <c:pt idx="0">
                  <c:v>0.58750000000000002</c:v>
                </c:pt>
                <c:pt idx="1">
                  <c:v>0.58333333333333337</c:v>
                </c:pt>
                <c:pt idx="2">
                  <c:v>0.58108108108108103</c:v>
                </c:pt>
                <c:pt idx="3">
                  <c:v>0.57894736842105265</c:v>
                </c:pt>
                <c:pt idx="4">
                  <c:v>0.56862745098039214</c:v>
                </c:pt>
                <c:pt idx="5">
                  <c:v>0.55813953488372092</c:v>
                </c:pt>
                <c:pt idx="6">
                  <c:v>0.55555555555555558</c:v>
                </c:pt>
                <c:pt idx="7">
                  <c:v>0.54347826086956519</c:v>
                </c:pt>
                <c:pt idx="8">
                  <c:v>0.54054054054054057</c:v>
                </c:pt>
                <c:pt idx="9">
                  <c:v>0.53846153846153844</c:v>
                </c:pt>
                <c:pt idx="10">
                  <c:v>0.53703703703703709</c:v>
                </c:pt>
                <c:pt idx="11">
                  <c:v>0.53623188405797106</c:v>
                </c:pt>
                <c:pt idx="12">
                  <c:v>0.53333333333333333</c:v>
                </c:pt>
                <c:pt idx="13">
                  <c:v>0.52500000000000002</c:v>
                </c:pt>
                <c:pt idx="14">
                  <c:v>0.51923076923076927</c:v>
                </c:pt>
                <c:pt idx="15">
                  <c:v>0.515625</c:v>
                </c:pt>
                <c:pt idx="16">
                  <c:v>0.50909090909090904</c:v>
                </c:pt>
              </c:numCache>
            </c:numRef>
          </c:val>
          <c:extLst>
            <c:ext xmlns:c16="http://schemas.microsoft.com/office/drawing/2014/chart" uri="{C3380CC4-5D6E-409C-BE32-E72D297353CC}">
              <c16:uniqueId val="{00000000-B259-471B-AB66-062704D4C448}"/>
            </c:ext>
          </c:extLst>
        </c:ser>
        <c:dLbls>
          <c:dLblPos val="outEnd"/>
          <c:showLegendKey val="0"/>
          <c:showVal val="1"/>
          <c:showCatName val="0"/>
          <c:showSerName val="0"/>
          <c:showPercent val="0"/>
          <c:showBubbleSize val="0"/>
        </c:dLbls>
        <c:gapWidth val="182"/>
        <c:axId val="1040543248"/>
        <c:axId val="824134544"/>
      </c:barChart>
      <c:catAx>
        <c:axId val="10405432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crossAx val="824134544"/>
        <c:crosses val="autoZero"/>
        <c:auto val="1"/>
        <c:lblAlgn val="ctr"/>
        <c:lblOffset val="100"/>
        <c:noMultiLvlLbl val="0"/>
      </c:catAx>
      <c:valAx>
        <c:axId val="824134544"/>
        <c:scaling>
          <c:orientation val="minMax"/>
        </c:scaling>
        <c:delete val="0"/>
        <c:axPos val="b"/>
        <c:title>
          <c:tx>
            <c:rich>
              <a:bodyPr rot="0" spcFirstLastPara="1" vertOverflow="ellipsis" vert="horz" wrap="square" anchor="ctr" anchorCtr="1"/>
              <a:lstStyle/>
              <a:p>
                <a:pPr>
                  <a:defRPr lang="en-US" sz="1000" b="1" i="0" u="none" strike="noStrike" kern="1200" baseline="0">
                    <a:solidFill>
                      <a:schemeClr val="bg1"/>
                    </a:solidFill>
                    <a:latin typeface="+mn-lt"/>
                    <a:ea typeface="+mn-ea"/>
                    <a:cs typeface="+mn-cs"/>
                  </a:defRPr>
                </a:pPr>
                <a:r>
                  <a:rPr lang="en-IN"/>
                  <a:t>FatCaloriePercent</a:t>
                </a:r>
              </a:p>
            </c:rich>
          </c:tx>
          <c:overlay val="0"/>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crossAx val="1040543248"/>
        <c:crosses val="autoZero"/>
        <c:crossBetween val="between"/>
      </c:valAx>
      <c:spPr>
        <a:noFill/>
        <a:ln>
          <a:noFill/>
        </a:ln>
        <a:effectLst/>
      </c:spPr>
    </c:plotArea>
    <c:plotVisOnly val="1"/>
    <c:dispBlanksAs val="gap"/>
    <c:showDLblsOverMax val="0"/>
  </c:chart>
  <c:spPr>
    <a:gradFill>
      <a:gsLst>
        <a:gs pos="0">
          <a:srgbClr val="FF0000"/>
        </a:gs>
        <a:gs pos="100000">
          <a:srgbClr val="FA6458"/>
        </a:gs>
      </a:gsLst>
      <a:lin ang="5400000" scaled="1"/>
    </a:gradFill>
    <a:ln w="9525" cap="flat" cmpd="sng" algn="ctr">
      <a:solidFill>
        <a:schemeClr val="tx1">
          <a:lumMod val="15000"/>
          <a:lumOff val="85000"/>
        </a:schemeClr>
      </a:solidFill>
      <a:round/>
    </a:ln>
    <a:effectLst/>
  </c:spPr>
  <c:txPr>
    <a:bodyPr/>
    <a:lstStyle/>
    <a:p>
      <a:pPr>
        <a:defRPr lang="en-US" sz="1000" b="1" i="0" u="none" strike="noStrike" kern="1200" baseline="0">
          <a:solidFill>
            <a:schemeClr val="bg1"/>
          </a:solidFill>
          <a:latin typeface="+mn-lt"/>
          <a:ea typeface="+mn-ea"/>
          <a:cs typeface="+mn-cs"/>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[McDonalds_Latest.xlsm]IdealCalorieItems!PivotTable3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col"/>
        <c:grouping val="stacked"/>
        <c:varyColors val="0"/>
        <c:ser>
          <c:idx val="0"/>
          <c:order val="0"/>
          <c:tx>
            <c:strRef>
              <c:f>IdealCalorieItems!$C$3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IdealCalorieItems!$A$4:$B$29</c:f>
              <c:multiLvlStrCache>
                <c:ptCount val="24"/>
                <c:lvl>
                  <c:pt idx="0">
                    <c:v>Bacon, Egg &amp; Cheese Biscuit (Regular Biscuit)</c:v>
                  </c:pt>
                  <c:pt idx="1">
                    <c:v>Bacon, Egg &amp; Cheese Biscuit with Egg Whites (Large Biscuit)</c:v>
                  </c:pt>
                  <c:pt idx="2">
                    <c:v>Bacon, Egg &amp; Cheese Biscuit with Egg Whites (Regular Biscuit)</c:v>
                  </c:pt>
                  <c:pt idx="3">
                    <c:v>Bacon, Egg &amp; Cheese McGriddles</c:v>
                  </c:pt>
                  <c:pt idx="4">
                    <c:v>Bacon, Egg &amp; Cheese McGriddles with Egg Whites</c:v>
                  </c:pt>
                  <c:pt idx="5">
                    <c:v>Cinnamon Melts</c:v>
                  </c:pt>
                  <c:pt idx="6">
                    <c:v>Egg McMuffin</c:v>
                  </c:pt>
                  <c:pt idx="7">
                    <c:v>Egg White Delight</c:v>
                  </c:pt>
                  <c:pt idx="8">
                    <c:v>Fruit &amp; Maple Oatmeal</c:v>
                  </c:pt>
                  <c:pt idx="9">
                    <c:v>Fruit &amp; Maple Oatmeal without Brown Sugar</c:v>
                  </c:pt>
                  <c:pt idx="10">
                    <c:v>Hash Brown</c:v>
                  </c:pt>
                  <c:pt idx="11">
                    <c:v>Hotcakes</c:v>
                  </c:pt>
                  <c:pt idx="12">
                    <c:v>Sausage Biscuit (Large Biscuit)</c:v>
                  </c:pt>
                  <c:pt idx="13">
                    <c:v>Sausage Biscuit (Regular Biscuit)</c:v>
                  </c:pt>
                  <c:pt idx="14">
                    <c:v>Sausage Biscuit with Egg Whites (Regular Biscuit)</c:v>
                  </c:pt>
                  <c:pt idx="15">
                    <c:v>Sausage Burrito</c:v>
                  </c:pt>
                  <c:pt idx="16">
                    <c:v>Sausage McGriddles</c:v>
                  </c:pt>
                  <c:pt idx="17">
                    <c:v>Sausage McMuffin</c:v>
                  </c:pt>
                  <c:pt idx="18">
                    <c:v>Sausage McMuffin with Egg</c:v>
                  </c:pt>
                  <c:pt idx="19">
                    <c:v>Sausage McMuffin with Egg Whites</c:v>
                  </c:pt>
                  <c:pt idx="20">
                    <c:v>Sausage, Egg &amp; Cheese McGriddles with Egg Whites</c:v>
                  </c:pt>
                  <c:pt idx="21">
                    <c:v>Southern Style Chicken Biscuit (Large Biscuit)</c:v>
                  </c:pt>
                  <c:pt idx="22">
                    <c:v>Southern Style Chicken Biscuit (Regular Biscuit)</c:v>
                  </c:pt>
                  <c:pt idx="23">
                    <c:v>Steak &amp; Egg McMuffin</c:v>
                  </c:pt>
                </c:lvl>
                <c:lvl>
                  <c:pt idx="0">
                    <c:v>Breakfast</c:v>
                  </c:pt>
                </c:lvl>
              </c:multiLvlStrCache>
            </c:multiLvlStrRef>
          </c:cat>
          <c:val>
            <c:numRef>
              <c:f>IdealCalorieItems!$C$4:$C$29</c:f>
              <c:numCache>
                <c:formatCode>General</c:formatCode>
                <c:ptCount val="24"/>
                <c:pt idx="0">
                  <c:v>460</c:v>
                </c:pt>
                <c:pt idx="1">
                  <c:v>470</c:v>
                </c:pt>
                <c:pt idx="2">
                  <c:v>410</c:v>
                </c:pt>
                <c:pt idx="3">
                  <c:v>460</c:v>
                </c:pt>
                <c:pt idx="4">
                  <c:v>400</c:v>
                </c:pt>
                <c:pt idx="5">
                  <c:v>460</c:v>
                </c:pt>
                <c:pt idx="6">
                  <c:v>300</c:v>
                </c:pt>
                <c:pt idx="7">
                  <c:v>250</c:v>
                </c:pt>
                <c:pt idx="8">
                  <c:v>290</c:v>
                </c:pt>
                <c:pt idx="9">
                  <c:v>260</c:v>
                </c:pt>
                <c:pt idx="10">
                  <c:v>150</c:v>
                </c:pt>
                <c:pt idx="11">
                  <c:v>350</c:v>
                </c:pt>
                <c:pt idx="12">
                  <c:v>480</c:v>
                </c:pt>
                <c:pt idx="13">
                  <c:v>430</c:v>
                </c:pt>
                <c:pt idx="14">
                  <c:v>460</c:v>
                </c:pt>
                <c:pt idx="15">
                  <c:v>300</c:v>
                </c:pt>
                <c:pt idx="16">
                  <c:v>420</c:v>
                </c:pt>
                <c:pt idx="17">
                  <c:v>370</c:v>
                </c:pt>
                <c:pt idx="18">
                  <c:v>450</c:v>
                </c:pt>
                <c:pt idx="19">
                  <c:v>400</c:v>
                </c:pt>
                <c:pt idx="20">
                  <c:v>500</c:v>
                </c:pt>
                <c:pt idx="21">
                  <c:v>470</c:v>
                </c:pt>
                <c:pt idx="22">
                  <c:v>410</c:v>
                </c:pt>
                <c:pt idx="23">
                  <c:v>430</c:v>
                </c:pt>
              </c:numCache>
            </c:numRef>
          </c:val>
          <c:extLst>
            <c:ext xmlns:c16="http://schemas.microsoft.com/office/drawing/2014/chart" uri="{C3380CC4-5D6E-409C-BE32-E72D297353CC}">
              <c16:uniqueId val="{00000000-CBBC-4C19-9E1A-62FD2EBE6D65}"/>
            </c:ext>
          </c:extLst>
        </c:ser>
        <c:dLbls>
          <c:dLblPos val="ctr"/>
          <c:showLegendKey val="0"/>
          <c:showVal val="1"/>
          <c:showCatName val="0"/>
          <c:showSerName val="0"/>
          <c:showPercent val="0"/>
          <c:showBubbleSize val="0"/>
        </c:dLbls>
        <c:gapWidth val="150"/>
        <c:overlap val="100"/>
        <c:axId val="834987007"/>
        <c:axId val="834978847"/>
      </c:barChart>
      <c:catAx>
        <c:axId val="834987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978847"/>
        <c:crosses val="autoZero"/>
        <c:auto val="1"/>
        <c:lblAlgn val="ctr"/>
        <c:lblOffset val="100"/>
        <c:noMultiLvlLbl val="0"/>
      </c:catAx>
      <c:valAx>
        <c:axId val="8349788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9870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FatCaloriePercent!$F$3</c:f>
              <c:strCache>
                <c:ptCount val="1"/>
                <c:pt idx="0">
                  <c:v>FatCaloriesPercent</c:v>
                </c:pt>
              </c:strCache>
            </c:strRef>
          </c:tx>
          <c:spPr>
            <a:solidFill>
              <a:schemeClr val="accent1"/>
            </a:solidFill>
            <a:ln>
              <a:noFill/>
            </a:ln>
            <a:effectLst/>
          </c:spPr>
          <c:invertIfNegative val="0"/>
          <c:cat>
            <c:strRef>
              <c:f>FatCaloriePercent!$E$4:$E$20</c:f>
              <c:strCache>
                <c:ptCount val="17"/>
                <c:pt idx="0">
                  <c:v>Big Breakfast (Large Biscuit)</c:v>
                </c:pt>
                <c:pt idx="1">
                  <c:v>Sausage Biscuit (Large Biscuit)</c:v>
                </c:pt>
                <c:pt idx="2">
                  <c:v>Big Breakfast (Regular Biscuit)</c:v>
                </c:pt>
                <c:pt idx="3">
                  <c:v>Sausage Biscuit with Egg (Large Biscuit)</c:v>
                </c:pt>
                <c:pt idx="4">
                  <c:v>Sausage Biscuit with Egg (Regular Biscuit)</c:v>
                </c:pt>
                <c:pt idx="5">
                  <c:v>Sausage Biscuit (Regular Biscuit)</c:v>
                </c:pt>
                <c:pt idx="6">
                  <c:v>Sausage McMuffin with Egg</c:v>
                </c:pt>
                <c:pt idx="7">
                  <c:v>Sausage Biscuit with Egg Whites (Regular Biscuit)</c:v>
                </c:pt>
                <c:pt idx="8">
                  <c:v>Sausage McMuffin</c:v>
                </c:pt>
                <c:pt idx="9">
                  <c:v>Sausage Biscuit with Egg Whites (Large Biscuit)</c:v>
                </c:pt>
                <c:pt idx="10">
                  <c:v>Steak &amp; Egg Biscuit (Regular Biscuit)</c:v>
                </c:pt>
                <c:pt idx="11">
                  <c:v>Big Breakfast with Egg Whites (Large Biscuit)</c:v>
                </c:pt>
                <c:pt idx="12">
                  <c:v>Hash Brown</c:v>
                </c:pt>
                <c:pt idx="13">
                  <c:v>Sausage McMuffin with Egg Whites</c:v>
                </c:pt>
                <c:pt idx="14">
                  <c:v>Bacon, Egg &amp; Cheese Biscuit (Large Biscuit)</c:v>
                </c:pt>
                <c:pt idx="15">
                  <c:v>Big Breakfast with Egg Whites (Regular Biscuit)</c:v>
                </c:pt>
                <c:pt idx="16">
                  <c:v>Sausage, Egg &amp; Cheese McGriddles</c:v>
                </c:pt>
              </c:strCache>
            </c:strRef>
          </c:cat>
          <c:val>
            <c:numRef>
              <c:f>FatCaloriePercent!$F$4:$F$20</c:f>
              <c:numCache>
                <c:formatCode>0%</c:formatCode>
                <c:ptCount val="17"/>
                <c:pt idx="0">
                  <c:v>0.58750000000000002</c:v>
                </c:pt>
                <c:pt idx="1">
                  <c:v>0.58333333333333337</c:v>
                </c:pt>
                <c:pt idx="2">
                  <c:v>0.58108108108108103</c:v>
                </c:pt>
                <c:pt idx="3">
                  <c:v>0.57894736842105265</c:v>
                </c:pt>
                <c:pt idx="4">
                  <c:v>0.56862745098039214</c:v>
                </c:pt>
                <c:pt idx="5">
                  <c:v>0.55813953488372092</c:v>
                </c:pt>
                <c:pt idx="6">
                  <c:v>0.55555555555555558</c:v>
                </c:pt>
                <c:pt idx="7">
                  <c:v>0.54347826086956519</c:v>
                </c:pt>
                <c:pt idx="8">
                  <c:v>0.54054054054054057</c:v>
                </c:pt>
                <c:pt idx="9">
                  <c:v>0.53846153846153844</c:v>
                </c:pt>
                <c:pt idx="10">
                  <c:v>0.53703703703703709</c:v>
                </c:pt>
                <c:pt idx="11">
                  <c:v>0.53623188405797106</c:v>
                </c:pt>
                <c:pt idx="12">
                  <c:v>0.53333333333333333</c:v>
                </c:pt>
                <c:pt idx="13">
                  <c:v>0.52500000000000002</c:v>
                </c:pt>
                <c:pt idx="14">
                  <c:v>0.51923076923076927</c:v>
                </c:pt>
                <c:pt idx="15">
                  <c:v>0.515625</c:v>
                </c:pt>
                <c:pt idx="16">
                  <c:v>0.50909090909090904</c:v>
                </c:pt>
              </c:numCache>
            </c:numRef>
          </c:val>
          <c:extLst>
            <c:ext xmlns:c16="http://schemas.microsoft.com/office/drawing/2014/chart" uri="{C3380CC4-5D6E-409C-BE32-E72D297353CC}">
              <c16:uniqueId val="{00000000-236E-440E-AA59-AF5CC2F1D0B4}"/>
            </c:ext>
          </c:extLst>
        </c:ser>
        <c:dLbls>
          <c:showLegendKey val="0"/>
          <c:showVal val="0"/>
          <c:showCatName val="0"/>
          <c:showSerName val="0"/>
          <c:showPercent val="0"/>
          <c:showBubbleSize val="0"/>
        </c:dLbls>
        <c:gapWidth val="182"/>
        <c:axId val="1040543248"/>
        <c:axId val="824134544"/>
      </c:barChart>
      <c:catAx>
        <c:axId val="10405432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134544"/>
        <c:crosses val="autoZero"/>
        <c:auto val="1"/>
        <c:lblAlgn val="ctr"/>
        <c:lblOffset val="100"/>
        <c:noMultiLvlLbl val="0"/>
      </c:catAx>
      <c:valAx>
        <c:axId val="8241345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543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[McDonalds_Latest.xlsm]Micronutrients_Classification!PivotTable4</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Micronutrients_Classification!$B$3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Micronutrients_Classification!$A$4:$A$8</c:f>
              <c:strCache>
                <c:ptCount val="4"/>
                <c:pt idx="0">
                  <c:v>Vitamin A</c:v>
                </c:pt>
                <c:pt idx="1">
                  <c:v>Vitamin C</c:v>
                </c:pt>
                <c:pt idx="2">
                  <c:v>Iron</c:v>
                </c:pt>
                <c:pt idx="3">
                  <c:v>Calcium</c:v>
                </c:pt>
              </c:strCache>
            </c:strRef>
          </c:cat>
          <c:val>
            <c:numRef>
              <c:f>Micronutrients_Classification!$B$4:$B$8</c:f>
              <c:numCache>
                <c:formatCode>General</c:formatCode>
                <c:ptCount val="4"/>
                <c:pt idx="0">
                  <c:v>1</c:v>
                </c:pt>
                <c:pt idx="1">
                  <c:v>3</c:v>
                </c:pt>
                <c:pt idx="2">
                  <c:v>19</c:v>
                </c:pt>
                <c:pt idx="3">
                  <c:v>19</c:v>
                </c:pt>
              </c:numCache>
            </c:numRef>
          </c:val>
          <c:extLst>
            <c:ext xmlns:c16="http://schemas.microsoft.com/office/drawing/2014/chart" uri="{C3380CC4-5D6E-409C-BE32-E72D297353CC}">
              <c16:uniqueId val="{00000000-2681-415C-A8C8-17A20F127CF4}"/>
            </c:ext>
          </c:extLst>
        </c:ser>
        <c:dLbls>
          <c:dLblPos val="outEnd"/>
          <c:showLegendKey val="0"/>
          <c:showVal val="1"/>
          <c:showCatName val="0"/>
          <c:showSerName val="0"/>
          <c:showPercent val="0"/>
          <c:showBubbleSize val="0"/>
        </c:dLbls>
        <c:gapWidth val="182"/>
        <c:axId val="82578464"/>
        <c:axId val="82579424"/>
      </c:barChart>
      <c:catAx>
        <c:axId val="825784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579424"/>
        <c:crosses val="autoZero"/>
        <c:auto val="1"/>
        <c:lblAlgn val="ctr"/>
        <c:lblOffset val="100"/>
        <c:noMultiLvlLbl val="0"/>
      </c:catAx>
      <c:valAx>
        <c:axId val="8257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578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'Calorie vs CalorieFromFat'!$G$3</c:f>
              <c:strCache>
                <c:ptCount val="1"/>
                <c:pt idx="0">
                  <c:v>Sum of Calories from Fat</c:v>
                </c:pt>
              </c:strCache>
            </c:strRef>
          </c:tx>
          <c:spPr>
            <a:ln w="19050" cap="rnd">
              <a:noFill/>
              <a:round/>
            </a:ln>
            <a:effectLst/>
          </c:spPr>
          <c:marker>
            <c:symbol val="circle"/>
            <c:size val="5"/>
            <c:spPr>
              <a:solidFill>
                <a:schemeClr val="accent1"/>
              </a:solidFill>
              <a:ln w="9525">
                <a:solidFill>
                  <a:schemeClr val="accent1"/>
                </a:solidFill>
              </a:ln>
              <a:effectLst/>
            </c:spPr>
          </c:marker>
          <c:xVal>
            <c:numRef>
              <c:f>'Calorie vs CalorieFromFat'!$F$4:$F$263</c:f>
              <c:numCache>
                <c:formatCode>General</c:formatCode>
                <c:ptCount val="260"/>
                <c:pt idx="0">
                  <c:v>100</c:v>
                </c:pt>
                <c:pt idx="1">
                  <c:v>15</c:v>
                </c:pt>
                <c:pt idx="2">
                  <c:v>430</c:v>
                </c:pt>
                <c:pt idx="3">
                  <c:v>480</c:v>
                </c:pt>
                <c:pt idx="4">
                  <c:v>720</c:v>
                </c:pt>
                <c:pt idx="5">
                  <c:v>750</c:v>
                </c:pt>
                <c:pt idx="6">
                  <c:v>590</c:v>
                </c:pt>
                <c:pt idx="7">
                  <c:v>440</c:v>
                </c:pt>
                <c:pt idx="8">
                  <c:v>620</c:v>
                </c:pt>
                <c:pt idx="9">
                  <c:v>570</c:v>
                </c:pt>
                <c:pt idx="10">
                  <c:v>520</c:v>
                </c:pt>
                <c:pt idx="11">
                  <c:v>460</c:v>
                </c:pt>
                <c:pt idx="12">
                  <c:v>470</c:v>
                </c:pt>
                <c:pt idx="13">
                  <c:v>410</c:v>
                </c:pt>
                <c:pt idx="14">
                  <c:v>460</c:v>
                </c:pt>
                <c:pt idx="15">
                  <c:v>400</c:v>
                </c:pt>
                <c:pt idx="16">
                  <c:v>250</c:v>
                </c:pt>
                <c:pt idx="17">
                  <c:v>800</c:v>
                </c:pt>
                <c:pt idx="18">
                  <c:v>740</c:v>
                </c:pt>
                <c:pt idx="19">
                  <c:v>690</c:v>
                </c:pt>
                <c:pt idx="20">
                  <c:v>640</c:v>
                </c:pt>
                <c:pt idx="21">
                  <c:v>1150</c:v>
                </c:pt>
                <c:pt idx="22">
                  <c:v>1090</c:v>
                </c:pt>
                <c:pt idx="23">
                  <c:v>1050</c:v>
                </c:pt>
                <c:pt idx="24">
                  <c:v>990</c:v>
                </c:pt>
                <c:pt idx="25">
                  <c:v>530</c:v>
                </c:pt>
                <c:pt idx="26">
                  <c:v>340</c:v>
                </c:pt>
                <c:pt idx="27">
                  <c:v>260</c:v>
                </c:pt>
                <c:pt idx="28">
                  <c:v>220</c:v>
                </c:pt>
                <c:pt idx="29">
                  <c:v>360</c:v>
                </c:pt>
                <c:pt idx="30">
                  <c:v>260</c:v>
                </c:pt>
                <c:pt idx="31">
                  <c:v>180</c:v>
                </c:pt>
                <c:pt idx="32">
                  <c:v>130</c:v>
                </c:pt>
                <c:pt idx="33">
                  <c:v>430</c:v>
                </c:pt>
                <c:pt idx="34">
                  <c:v>340</c:v>
                </c:pt>
                <c:pt idx="35">
                  <c:v>270</c:v>
                </c:pt>
                <c:pt idx="36">
                  <c:v>480</c:v>
                </c:pt>
                <c:pt idx="37">
                  <c:v>390</c:v>
                </c:pt>
                <c:pt idx="38">
                  <c:v>320</c:v>
                </c:pt>
                <c:pt idx="39">
                  <c:v>290</c:v>
                </c:pt>
                <c:pt idx="40">
                  <c:v>470</c:v>
                </c:pt>
                <c:pt idx="41">
                  <c:v>940</c:v>
                </c:pt>
                <c:pt idx="42">
                  <c:v>190</c:v>
                </c:pt>
                <c:pt idx="43">
                  <c:v>1880</c:v>
                </c:pt>
                <c:pt idx="44">
                  <c:v>280</c:v>
                </c:pt>
                <c:pt idx="45">
                  <c:v>340</c:v>
                </c:pt>
                <c:pt idx="46">
                  <c:v>260</c:v>
                </c:pt>
                <c:pt idx="47">
                  <c:v>160</c:v>
                </c:pt>
                <c:pt idx="48">
                  <c:v>850</c:v>
                </c:pt>
                <c:pt idx="49">
                  <c:v>700</c:v>
                </c:pt>
                <c:pt idx="50">
                  <c:v>560</c:v>
                </c:pt>
                <c:pt idx="51">
                  <c:v>460</c:v>
                </c:pt>
                <c:pt idx="52">
                  <c:v>100</c:v>
                </c:pt>
                <c:pt idx="53">
                  <c:v>280</c:v>
                </c:pt>
                <c:pt idx="54">
                  <c:v>200</c:v>
                </c:pt>
                <c:pt idx="55">
                  <c:v>140</c:v>
                </c:pt>
                <c:pt idx="56">
                  <c:v>0</c:v>
                </c:pt>
                <c:pt idx="57">
                  <c:v>0</c:v>
                </c:pt>
                <c:pt idx="58">
                  <c:v>0</c:v>
                </c:pt>
                <c:pt idx="59">
                  <c:v>430</c:v>
                </c:pt>
                <c:pt idx="60">
                  <c:v>0</c:v>
                </c:pt>
                <c:pt idx="61">
                  <c:v>0</c:v>
                </c:pt>
                <c:pt idx="62">
                  <c:v>0</c:v>
                </c:pt>
                <c:pt idx="63">
                  <c:v>0</c:v>
                </c:pt>
                <c:pt idx="64">
                  <c:v>0</c:v>
                </c:pt>
                <c:pt idx="65">
                  <c:v>0</c:v>
                </c:pt>
                <c:pt idx="66">
                  <c:v>0</c:v>
                </c:pt>
                <c:pt idx="67">
                  <c:v>0</c:v>
                </c:pt>
                <c:pt idx="68">
                  <c:v>0</c:v>
                </c:pt>
                <c:pt idx="69">
                  <c:v>430</c:v>
                </c:pt>
                <c:pt idx="70">
                  <c:v>750</c:v>
                </c:pt>
                <c:pt idx="71">
                  <c:v>100</c:v>
                </c:pt>
                <c:pt idx="72">
                  <c:v>270</c:v>
                </c:pt>
                <c:pt idx="73">
                  <c:v>190</c:v>
                </c:pt>
                <c:pt idx="74">
                  <c:v>140</c:v>
                </c:pt>
                <c:pt idx="75">
                  <c:v>300</c:v>
                </c:pt>
                <c:pt idx="76">
                  <c:v>250</c:v>
                </c:pt>
                <c:pt idx="77">
                  <c:v>130</c:v>
                </c:pt>
                <c:pt idx="78">
                  <c:v>390</c:v>
                </c:pt>
                <c:pt idx="79">
                  <c:v>670</c:v>
                </c:pt>
                <c:pt idx="80">
                  <c:v>550</c:v>
                </c:pt>
                <c:pt idx="81">
                  <c:v>450</c:v>
                </c:pt>
                <c:pt idx="82">
                  <c:v>760</c:v>
                </c:pt>
                <c:pt idx="83">
                  <c:v>630</c:v>
                </c:pt>
                <c:pt idx="84">
                  <c:v>530</c:v>
                </c:pt>
                <c:pt idx="85">
                  <c:v>670</c:v>
                </c:pt>
                <c:pt idx="86">
                  <c:v>550</c:v>
                </c:pt>
                <c:pt idx="87">
                  <c:v>450</c:v>
                </c:pt>
                <c:pt idx="88">
                  <c:v>240</c:v>
                </c:pt>
                <c:pt idx="89">
                  <c:v>170</c:v>
                </c:pt>
                <c:pt idx="90">
                  <c:v>120</c:v>
                </c:pt>
                <c:pt idx="91">
                  <c:v>420</c:v>
                </c:pt>
                <c:pt idx="92">
                  <c:v>330</c:v>
                </c:pt>
                <c:pt idx="93">
                  <c:v>260</c:v>
                </c:pt>
                <c:pt idx="94">
                  <c:v>290</c:v>
                </c:pt>
                <c:pt idx="95">
                  <c:v>260</c:v>
                </c:pt>
                <c:pt idx="96">
                  <c:v>150</c:v>
                </c:pt>
                <c:pt idx="97">
                  <c:v>240</c:v>
                </c:pt>
                <c:pt idx="98">
                  <c:v>150</c:v>
                </c:pt>
                <c:pt idx="99">
                  <c:v>250</c:v>
                </c:pt>
                <c:pt idx="100">
                  <c:v>180</c:v>
                </c:pt>
                <c:pt idx="101">
                  <c:v>130</c:v>
                </c:pt>
                <c:pt idx="102">
                  <c:v>430</c:v>
                </c:pt>
                <c:pt idx="103">
                  <c:v>330</c:v>
                </c:pt>
                <c:pt idx="104">
                  <c:v>270</c:v>
                </c:pt>
                <c:pt idx="105">
                  <c:v>330</c:v>
                </c:pt>
                <c:pt idx="106">
                  <c:v>250</c:v>
                </c:pt>
                <c:pt idx="107">
                  <c:v>340</c:v>
                </c:pt>
                <c:pt idx="108">
                  <c:v>540</c:v>
                </c:pt>
                <c:pt idx="109">
                  <c:v>440</c:v>
                </c:pt>
                <c:pt idx="110">
                  <c:v>360</c:v>
                </c:pt>
                <c:pt idx="111">
                  <c:v>400</c:v>
                </c:pt>
                <c:pt idx="112">
                  <c:v>340</c:v>
                </c:pt>
                <c:pt idx="113">
                  <c:v>280</c:v>
                </c:pt>
                <c:pt idx="114">
                  <c:v>330</c:v>
                </c:pt>
                <c:pt idx="115">
                  <c:v>350</c:v>
                </c:pt>
                <c:pt idx="116">
                  <c:v>520</c:v>
                </c:pt>
                <c:pt idx="117">
                  <c:v>460</c:v>
                </c:pt>
                <c:pt idx="118">
                  <c:v>340</c:v>
                </c:pt>
                <c:pt idx="119">
                  <c:v>280</c:v>
                </c:pt>
                <c:pt idx="120">
                  <c:v>160</c:v>
                </c:pt>
                <c:pt idx="121">
                  <c:v>120</c:v>
                </c:pt>
                <c:pt idx="122">
                  <c:v>80</c:v>
                </c:pt>
                <c:pt idx="123">
                  <c:v>480</c:v>
                </c:pt>
                <c:pt idx="124">
                  <c:v>350</c:v>
                </c:pt>
                <c:pt idx="125">
                  <c:v>290</c:v>
                </c:pt>
                <c:pt idx="126">
                  <c:v>390</c:v>
                </c:pt>
                <c:pt idx="127">
                  <c:v>290</c:v>
                </c:pt>
                <c:pt idx="128">
                  <c:v>240</c:v>
                </c:pt>
                <c:pt idx="129">
                  <c:v>370</c:v>
                </c:pt>
                <c:pt idx="130">
                  <c:v>270</c:v>
                </c:pt>
                <c:pt idx="131">
                  <c:v>230</c:v>
                </c:pt>
                <c:pt idx="132">
                  <c:v>0</c:v>
                </c:pt>
                <c:pt idx="133">
                  <c:v>0</c:v>
                </c:pt>
                <c:pt idx="134">
                  <c:v>0</c:v>
                </c:pt>
                <c:pt idx="135">
                  <c:v>0</c:v>
                </c:pt>
                <c:pt idx="136">
                  <c:v>430</c:v>
                </c:pt>
                <c:pt idx="137">
                  <c:v>110</c:v>
                </c:pt>
                <c:pt idx="138">
                  <c:v>45</c:v>
                </c:pt>
                <c:pt idx="139">
                  <c:v>510</c:v>
                </c:pt>
                <c:pt idx="140">
                  <c:v>280</c:v>
                </c:pt>
                <c:pt idx="141">
                  <c:v>210</c:v>
                </c:pt>
                <c:pt idx="142">
                  <c:v>170</c:v>
                </c:pt>
                <c:pt idx="143">
                  <c:v>330</c:v>
                </c:pt>
                <c:pt idx="144">
                  <c:v>260</c:v>
                </c:pt>
                <c:pt idx="145">
                  <c:v>210</c:v>
                </c:pt>
                <c:pt idx="146">
                  <c:v>340</c:v>
                </c:pt>
                <c:pt idx="147">
                  <c:v>260</c:v>
                </c:pt>
                <c:pt idx="148">
                  <c:v>210</c:v>
                </c:pt>
                <c:pt idx="149">
                  <c:v>360</c:v>
                </c:pt>
                <c:pt idx="150">
                  <c:v>380</c:v>
                </c:pt>
                <c:pt idx="151">
                  <c:v>930</c:v>
                </c:pt>
                <c:pt idx="152">
                  <c:v>650</c:v>
                </c:pt>
                <c:pt idx="153">
                  <c:v>430</c:v>
                </c:pt>
                <c:pt idx="154">
                  <c:v>690</c:v>
                </c:pt>
                <c:pt idx="155">
                  <c:v>510</c:v>
                </c:pt>
                <c:pt idx="156">
                  <c:v>340</c:v>
                </c:pt>
                <c:pt idx="157">
                  <c:v>810</c:v>
                </c:pt>
                <c:pt idx="158">
                  <c:v>410</c:v>
                </c:pt>
                <c:pt idx="159">
                  <c:v>500</c:v>
                </c:pt>
                <c:pt idx="160">
                  <c:v>340</c:v>
                </c:pt>
                <c:pt idx="161">
                  <c:v>80</c:v>
                </c:pt>
                <c:pt idx="162">
                  <c:v>280</c:v>
                </c:pt>
                <c:pt idx="163">
                  <c:v>190</c:v>
                </c:pt>
                <c:pt idx="164">
                  <c:v>150</c:v>
                </c:pt>
                <c:pt idx="165">
                  <c:v>500</c:v>
                </c:pt>
                <c:pt idx="166">
                  <c:v>410</c:v>
                </c:pt>
                <c:pt idx="167">
                  <c:v>340</c:v>
                </c:pt>
                <c:pt idx="168">
                  <c:v>390</c:v>
                </c:pt>
                <c:pt idx="169">
                  <c:v>330</c:v>
                </c:pt>
                <c:pt idx="170">
                  <c:v>270</c:v>
                </c:pt>
                <c:pt idx="171">
                  <c:v>310</c:v>
                </c:pt>
                <c:pt idx="172">
                  <c:v>250</c:v>
                </c:pt>
                <c:pt idx="173">
                  <c:v>200</c:v>
                </c:pt>
                <c:pt idx="174">
                  <c:v>370</c:v>
                </c:pt>
                <c:pt idx="175">
                  <c:v>310</c:v>
                </c:pt>
                <c:pt idx="176">
                  <c:v>250</c:v>
                </c:pt>
                <c:pt idx="177">
                  <c:v>300</c:v>
                </c:pt>
                <c:pt idx="178">
                  <c:v>240</c:v>
                </c:pt>
                <c:pt idx="179">
                  <c:v>190</c:v>
                </c:pt>
                <c:pt idx="180">
                  <c:v>310</c:v>
                </c:pt>
                <c:pt idx="181">
                  <c:v>250</c:v>
                </c:pt>
                <c:pt idx="182">
                  <c:v>200</c:v>
                </c:pt>
                <c:pt idx="183">
                  <c:v>170</c:v>
                </c:pt>
                <c:pt idx="184">
                  <c:v>130</c:v>
                </c:pt>
                <c:pt idx="185">
                  <c:v>100</c:v>
                </c:pt>
                <c:pt idx="186">
                  <c:v>220</c:v>
                </c:pt>
                <c:pt idx="187">
                  <c:v>170</c:v>
                </c:pt>
                <c:pt idx="188">
                  <c:v>140</c:v>
                </c:pt>
                <c:pt idx="189">
                  <c:v>150</c:v>
                </c:pt>
                <c:pt idx="190">
                  <c:v>140</c:v>
                </c:pt>
                <c:pt idx="191">
                  <c:v>380</c:v>
                </c:pt>
                <c:pt idx="192">
                  <c:v>220</c:v>
                </c:pt>
                <c:pt idx="193">
                  <c:v>510</c:v>
                </c:pt>
                <c:pt idx="194">
                  <c:v>670</c:v>
                </c:pt>
                <c:pt idx="195">
                  <c:v>610</c:v>
                </c:pt>
                <c:pt idx="196">
                  <c:v>350</c:v>
                </c:pt>
                <c:pt idx="197">
                  <c:v>510</c:v>
                </c:pt>
                <c:pt idx="198">
                  <c:v>450</c:v>
                </c:pt>
                <c:pt idx="199">
                  <c:v>630</c:v>
                </c:pt>
                <c:pt idx="200">
                  <c:v>480</c:v>
                </c:pt>
                <c:pt idx="201">
                  <c:v>610</c:v>
                </c:pt>
                <c:pt idx="202">
                  <c:v>450</c:v>
                </c:pt>
                <c:pt idx="203">
                  <c:v>540</c:v>
                </c:pt>
                <c:pt idx="204">
                  <c:v>380</c:v>
                </c:pt>
                <c:pt idx="205">
                  <c:v>670</c:v>
                </c:pt>
                <c:pt idx="206">
                  <c:v>520</c:v>
                </c:pt>
                <c:pt idx="207">
                  <c:v>140</c:v>
                </c:pt>
                <c:pt idx="208">
                  <c:v>450</c:v>
                </c:pt>
                <c:pt idx="209">
                  <c:v>290</c:v>
                </c:pt>
                <c:pt idx="210">
                  <c:v>540</c:v>
                </c:pt>
                <c:pt idx="211">
                  <c:v>600</c:v>
                </c:pt>
                <c:pt idx="212">
                  <c:v>610</c:v>
                </c:pt>
                <c:pt idx="213">
                  <c:v>520</c:v>
                </c:pt>
                <c:pt idx="214">
                  <c:v>360</c:v>
                </c:pt>
                <c:pt idx="215">
                  <c:v>280</c:v>
                </c:pt>
                <c:pt idx="216">
                  <c:v>270</c:v>
                </c:pt>
                <c:pt idx="217">
                  <c:v>190</c:v>
                </c:pt>
                <c:pt idx="218">
                  <c:v>140</c:v>
                </c:pt>
                <c:pt idx="219">
                  <c:v>480</c:v>
                </c:pt>
                <c:pt idx="220">
                  <c:v>430</c:v>
                </c:pt>
                <c:pt idx="221">
                  <c:v>570</c:v>
                </c:pt>
                <c:pt idx="222">
                  <c:v>510</c:v>
                </c:pt>
                <c:pt idx="223">
                  <c:v>520</c:v>
                </c:pt>
                <c:pt idx="224">
                  <c:v>460</c:v>
                </c:pt>
                <c:pt idx="225">
                  <c:v>300</c:v>
                </c:pt>
                <c:pt idx="226">
                  <c:v>420</c:v>
                </c:pt>
                <c:pt idx="227">
                  <c:v>370</c:v>
                </c:pt>
                <c:pt idx="228">
                  <c:v>450</c:v>
                </c:pt>
                <c:pt idx="229">
                  <c:v>400</c:v>
                </c:pt>
                <c:pt idx="230">
                  <c:v>550</c:v>
                </c:pt>
                <c:pt idx="231">
                  <c:v>500</c:v>
                </c:pt>
                <c:pt idx="232">
                  <c:v>820</c:v>
                </c:pt>
                <c:pt idx="233">
                  <c:v>660</c:v>
                </c:pt>
                <c:pt idx="234">
                  <c:v>20</c:v>
                </c:pt>
                <c:pt idx="235">
                  <c:v>230</c:v>
                </c:pt>
                <c:pt idx="236">
                  <c:v>470</c:v>
                </c:pt>
                <c:pt idx="237">
                  <c:v>410</c:v>
                </c:pt>
                <c:pt idx="238">
                  <c:v>430</c:v>
                </c:pt>
                <c:pt idx="239">
                  <c:v>100</c:v>
                </c:pt>
                <c:pt idx="240">
                  <c:v>280</c:v>
                </c:pt>
                <c:pt idx="241">
                  <c:v>200</c:v>
                </c:pt>
                <c:pt idx="242">
                  <c:v>140</c:v>
                </c:pt>
                <c:pt idx="243">
                  <c:v>540</c:v>
                </c:pt>
                <c:pt idx="244">
                  <c:v>430</c:v>
                </c:pt>
                <c:pt idx="245">
                  <c:v>670</c:v>
                </c:pt>
                <c:pt idx="246">
                  <c:v>330</c:v>
                </c:pt>
                <c:pt idx="247">
                  <c:v>250</c:v>
                </c:pt>
                <c:pt idx="248">
                  <c:v>210</c:v>
                </c:pt>
                <c:pt idx="249">
                  <c:v>850</c:v>
                </c:pt>
                <c:pt idx="250">
                  <c:v>690</c:v>
                </c:pt>
                <c:pt idx="251">
                  <c:v>550</c:v>
                </c:pt>
                <c:pt idx="252">
                  <c:v>280</c:v>
                </c:pt>
                <c:pt idx="253">
                  <c:v>110</c:v>
                </c:pt>
                <c:pt idx="254">
                  <c:v>220</c:v>
                </c:pt>
                <c:pt idx="255">
                  <c:v>180</c:v>
                </c:pt>
                <c:pt idx="256">
                  <c:v>150</c:v>
                </c:pt>
                <c:pt idx="257">
                  <c:v>820</c:v>
                </c:pt>
                <c:pt idx="258">
                  <c:v>660</c:v>
                </c:pt>
                <c:pt idx="259">
                  <c:v>530</c:v>
                </c:pt>
              </c:numCache>
            </c:numRef>
          </c:xVal>
          <c:yVal>
            <c:numRef>
              <c:f>'Calorie vs CalorieFromFat'!$G$4:$G$263</c:f>
              <c:numCache>
                <c:formatCode>General</c:formatCode>
                <c:ptCount val="260"/>
                <c:pt idx="0">
                  <c:v>20</c:v>
                </c:pt>
                <c:pt idx="1">
                  <c:v>0</c:v>
                </c:pt>
                <c:pt idx="2">
                  <c:v>190</c:v>
                </c:pt>
                <c:pt idx="3">
                  <c:v>220</c:v>
                </c:pt>
                <c:pt idx="4">
                  <c:v>360</c:v>
                </c:pt>
                <c:pt idx="5">
                  <c:v>340</c:v>
                </c:pt>
                <c:pt idx="6">
                  <c:v>230</c:v>
                </c:pt>
                <c:pt idx="7">
                  <c:v>200</c:v>
                </c:pt>
                <c:pt idx="8">
                  <c:v>280</c:v>
                </c:pt>
                <c:pt idx="9">
                  <c:v>230</c:v>
                </c:pt>
                <c:pt idx="10">
                  <c:v>270</c:v>
                </c:pt>
                <c:pt idx="11">
                  <c:v>230</c:v>
                </c:pt>
                <c:pt idx="12">
                  <c:v>220</c:v>
                </c:pt>
                <c:pt idx="13">
                  <c:v>180</c:v>
                </c:pt>
                <c:pt idx="14">
                  <c:v>190</c:v>
                </c:pt>
                <c:pt idx="15">
                  <c:v>140</c:v>
                </c:pt>
                <c:pt idx="16">
                  <c:v>110</c:v>
                </c:pt>
                <c:pt idx="17">
                  <c:v>470</c:v>
                </c:pt>
                <c:pt idx="18">
                  <c:v>430</c:v>
                </c:pt>
                <c:pt idx="19">
                  <c:v>370</c:v>
                </c:pt>
                <c:pt idx="20">
                  <c:v>330</c:v>
                </c:pt>
                <c:pt idx="21">
                  <c:v>540</c:v>
                </c:pt>
                <c:pt idx="22">
                  <c:v>510</c:v>
                </c:pt>
                <c:pt idx="23">
                  <c:v>450</c:v>
                </c:pt>
                <c:pt idx="24">
                  <c:v>410</c:v>
                </c:pt>
                <c:pt idx="25">
                  <c:v>240</c:v>
                </c:pt>
                <c:pt idx="26">
                  <c:v>10</c:v>
                </c:pt>
                <c:pt idx="27">
                  <c:v>5</c:v>
                </c:pt>
                <c:pt idx="28">
                  <c:v>5</c:v>
                </c:pt>
                <c:pt idx="29">
                  <c:v>150</c:v>
                </c:pt>
                <c:pt idx="30">
                  <c:v>80</c:v>
                </c:pt>
                <c:pt idx="31">
                  <c:v>60</c:v>
                </c:pt>
                <c:pt idx="32">
                  <c:v>40</c:v>
                </c:pt>
                <c:pt idx="33">
                  <c:v>120</c:v>
                </c:pt>
                <c:pt idx="34">
                  <c:v>90</c:v>
                </c:pt>
                <c:pt idx="35">
                  <c:v>80</c:v>
                </c:pt>
                <c:pt idx="36">
                  <c:v>150</c:v>
                </c:pt>
                <c:pt idx="37">
                  <c:v>120</c:v>
                </c:pt>
                <c:pt idx="38">
                  <c:v>100</c:v>
                </c:pt>
                <c:pt idx="39">
                  <c:v>100</c:v>
                </c:pt>
                <c:pt idx="40">
                  <c:v>270</c:v>
                </c:pt>
                <c:pt idx="41">
                  <c:v>530</c:v>
                </c:pt>
                <c:pt idx="42">
                  <c:v>110</c:v>
                </c:pt>
                <c:pt idx="43">
                  <c:v>1060</c:v>
                </c:pt>
                <c:pt idx="44">
                  <c:v>160</c:v>
                </c:pt>
                <c:pt idx="45">
                  <c:v>130</c:v>
                </c:pt>
                <c:pt idx="46">
                  <c:v>70</c:v>
                </c:pt>
                <c:pt idx="47">
                  <c:v>70</c:v>
                </c:pt>
                <c:pt idx="48">
                  <c:v>210</c:v>
                </c:pt>
                <c:pt idx="49">
                  <c:v>180</c:v>
                </c:pt>
                <c:pt idx="50">
                  <c:v>150</c:v>
                </c:pt>
                <c:pt idx="51">
                  <c:v>170</c:v>
                </c:pt>
                <c:pt idx="52">
                  <c:v>0</c:v>
                </c:pt>
                <c:pt idx="53">
                  <c:v>0</c:v>
                </c:pt>
                <c:pt idx="54">
                  <c:v>0</c:v>
                </c:pt>
                <c:pt idx="55">
                  <c:v>0</c:v>
                </c:pt>
                <c:pt idx="56">
                  <c:v>0</c:v>
                </c:pt>
                <c:pt idx="57">
                  <c:v>0</c:v>
                </c:pt>
                <c:pt idx="58">
                  <c:v>0</c:v>
                </c:pt>
                <c:pt idx="59">
                  <c:v>200</c:v>
                </c:pt>
                <c:pt idx="60">
                  <c:v>0</c:v>
                </c:pt>
                <c:pt idx="61">
                  <c:v>0</c:v>
                </c:pt>
                <c:pt idx="62">
                  <c:v>0</c:v>
                </c:pt>
                <c:pt idx="63">
                  <c:v>0</c:v>
                </c:pt>
                <c:pt idx="64">
                  <c:v>0</c:v>
                </c:pt>
                <c:pt idx="65">
                  <c:v>0</c:v>
                </c:pt>
                <c:pt idx="66">
                  <c:v>0</c:v>
                </c:pt>
                <c:pt idx="67">
                  <c:v>0</c:v>
                </c:pt>
                <c:pt idx="68">
                  <c:v>0</c:v>
                </c:pt>
                <c:pt idx="69">
                  <c:v>190</c:v>
                </c:pt>
                <c:pt idx="70">
                  <c:v>380</c:v>
                </c:pt>
                <c:pt idx="71">
                  <c:v>0</c:v>
                </c:pt>
                <c:pt idx="72">
                  <c:v>0</c:v>
                </c:pt>
                <c:pt idx="73">
                  <c:v>0</c:v>
                </c:pt>
                <c:pt idx="74">
                  <c:v>0</c:v>
                </c:pt>
                <c:pt idx="75">
                  <c:v>120</c:v>
                </c:pt>
                <c:pt idx="76">
                  <c:v>70</c:v>
                </c:pt>
                <c:pt idx="77">
                  <c:v>0</c:v>
                </c:pt>
                <c:pt idx="78">
                  <c:v>170</c:v>
                </c:pt>
                <c:pt idx="79">
                  <c:v>250</c:v>
                </c:pt>
                <c:pt idx="80">
                  <c:v>200</c:v>
                </c:pt>
                <c:pt idx="81">
                  <c:v>170</c:v>
                </c:pt>
                <c:pt idx="82">
                  <c:v>280</c:v>
                </c:pt>
                <c:pt idx="83">
                  <c:v>240</c:v>
                </c:pt>
                <c:pt idx="84">
                  <c:v>200</c:v>
                </c:pt>
                <c:pt idx="85">
                  <c:v>240</c:v>
                </c:pt>
                <c:pt idx="86">
                  <c:v>200</c:v>
                </c:pt>
                <c:pt idx="87">
                  <c:v>160</c:v>
                </c:pt>
                <c:pt idx="88">
                  <c:v>80</c:v>
                </c:pt>
                <c:pt idx="89">
                  <c:v>60</c:v>
                </c:pt>
                <c:pt idx="90">
                  <c:v>40</c:v>
                </c:pt>
                <c:pt idx="91">
                  <c:v>120</c:v>
                </c:pt>
                <c:pt idx="92">
                  <c:v>90</c:v>
                </c:pt>
                <c:pt idx="93">
                  <c:v>80</c:v>
                </c:pt>
                <c:pt idx="94">
                  <c:v>35</c:v>
                </c:pt>
                <c:pt idx="95">
                  <c:v>40</c:v>
                </c:pt>
                <c:pt idx="96">
                  <c:v>20</c:v>
                </c:pt>
                <c:pt idx="97">
                  <c:v>70</c:v>
                </c:pt>
                <c:pt idx="98">
                  <c:v>80</c:v>
                </c:pt>
                <c:pt idx="99">
                  <c:v>80</c:v>
                </c:pt>
                <c:pt idx="100">
                  <c:v>60</c:v>
                </c:pt>
                <c:pt idx="101">
                  <c:v>40</c:v>
                </c:pt>
                <c:pt idx="102">
                  <c:v>120</c:v>
                </c:pt>
                <c:pt idx="103">
                  <c:v>90</c:v>
                </c:pt>
                <c:pt idx="104">
                  <c:v>80</c:v>
                </c:pt>
                <c:pt idx="105">
                  <c:v>130</c:v>
                </c:pt>
                <c:pt idx="106">
                  <c:v>70</c:v>
                </c:pt>
                <c:pt idx="107">
                  <c:v>70</c:v>
                </c:pt>
                <c:pt idx="108">
                  <c:v>180</c:v>
                </c:pt>
                <c:pt idx="109">
                  <c:v>140</c:v>
                </c:pt>
                <c:pt idx="110">
                  <c:v>120</c:v>
                </c:pt>
                <c:pt idx="111">
                  <c:v>35</c:v>
                </c:pt>
                <c:pt idx="112">
                  <c:v>30</c:v>
                </c:pt>
                <c:pt idx="113">
                  <c:v>30</c:v>
                </c:pt>
                <c:pt idx="114">
                  <c:v>80</c:v>
                </c:pt>
                <c:pt idx="115">
                  <c:v>80</c:v>
                </c:pt>
                <c:pt idx="116">
                  <c:v>210</c:v>
                </c:pt>
                <c:pt idx="117">
                  <c:v>150</c:v>
                </c:pt>
                <c:pt idx="118">
                  <c:v>110</c:v>
                </c:pt>
                <c:pt idx="119">
                  <c:v>100</c:v>
                </c:pt>
                <c:pt idx="120">
                  <c:v>80</c:v>
                </c:pt>
                <c:pt idx="121">
                  <c:v>60</c:v>
                </c:pt>
                <c:pt idx="122">
                  <c:v>40</c:v>
                </c:pt>
                <c:pt idx="123">
                  <c:v>150</c:v>
                </c:pt>
                <c:pt idx="124">
                  <c:v>110</c:v>
                </c:pt>
                <c:pt idx="125">
                  <c:v>100</c:v>
                </c:pt>
                <c:pt idx="126">
                  <c:v>50</c:v>
                </c:pt>
                <c:pt idx="127">
                  <c:v>45</c:v>
                </c:pt>
                <c:pt idx="128">
                  <c:v>45</c:v>
                </c:pt>
                <c:pt idx="129">
                  <c:v>50</c:v>
                </c:pt>
                <c:pt idx="130">
                  <c:v>45</c:v>
                </c:pt>
                <c:pt idx="131">
                  <c:v>45</c:v>
                </c:pt>
                <c:pt idx="132">
                  <c:v>0</c:v>
                </c:pt>
                <c:pt idx="133">
                  <c:v>0</c:v>
                </c:pt>
                <c:pt idx="134">
                  <c:v>0</c:v>
                </c:pt>
                <c:pt idx="135">
                  <c:v>0</c:v>
                </c:pt>
                <c:pt idx="136">
                  <c:v>210</c:v>
                </c:pt>
                <c:pt idx="137">
                  <c:v>50</c:v>
                </c:pt>
                <c:pt idx="138">
                  <c:v>10</c:v>
                </c:pt>
                <c:pt idx="139">
                  <c:v>220</c:v>
                </c:pt>
                <c:pt idx="140">
                  <c:v>120</c:v>
                </c:pt>
                <c:pt idx="141">
                  <c:v>90</c:v>
                </c:pt>
                <c:pt idx="142">
                  <c:v>80</c:v>
                </c:pt>
                <c:pt idx="143">
                  <c:v>120</c:v>
                </c:pt>
                <c:pt idx="144">
                  <c:v>90</c:v>
                </c:pt>
                <c:pt idx="145">
                  <c:v>80</c:v>
                </c:pt>
                <c:pt idx="146">
                  <c:v>10</c:v>
                </c:pt>
                <c:pt idx="147">
                  <c:v>10</c:v>
                </c:pt>
                <c:pt idx="148">
                  <c:v>5</c:v>
                </c:pt>
                <c:pt idx="149">
                  <c:v>140</c:v>
                </c:pt>
                <c:pt idx="150">
                  <c:v>150</c:v>
                </c:pt>
                <c:pt idx="151">
                  <c:v>290</c:v>
                </c:pt>
                <c:pt idx="152">
                  <c:v>210</c:v>
                </c:pt>
                <c:pt idx="153">
                  <c:v>140</c:v>
                </c:pt>
                <c:pt idx="154">
                  <c:v>200</c:v>
                </c:pt>
                <c:pt idx="155">
                  <c:v>150</c:v>
                </c:pt>
                <c:pt idx="156">
                  <c:v>100</c:v>
                </c:pt>
                <c:pt idx="157">
                  <c:v>290</c:v>
                </c:pt>
                <c:pt idx="158">
                  <c:v>150</c:v>
                </c:pt>
                <c:pt idx="159">
                  <c:v>240</c:v>
                </c:pt>
                <c:pt idx="160">
                  <c:v>140</c:v>
                </c:pt>
                <c:pt idx="161">
                  <c:v>0</c:v>
                </c:pt>
                <c:pt idx="162">
                  <c:v>0</c:v>
                </c:pt>
                <c:pt idx="163">
                  <c:v>0</c:v>
                </c:pt>
                <c:pt idx="164">
                  <c:v>0</c:v>
                </c:pt>
                <c:pt idx="165">
                  <c:v>150</c:v>
                </c:pt>
                <c:pt idx="166">
                  <c:v>120</c:v>
                </c:pt>
                <c:pt idx="167">
                  <c:v>100</c:v>
                </c:pt>
                <c:pt idx="168">
                  <c:v>35</c:v>
                </c:pt>
                <c:pt idx="169">
                  <c:v>30</c:v>
                </c:pt>
                <c:pt idx="170">
                  <c:v>30</c:v>
                </c:pt>
                <c:pt idx="171">
                  <c:v>0</c:v>
                </c:pt>
                <c:pt idx="172">
                  <c:v>0</c:v>
                </c:pt>
                <c:pt idx="173">
                  <c:v>0</c:v>
                </c:pt>
                <c:pt idx="174">
                  <c:v>35</c:v>
                </c:pt>
                <c:pt idx="175">
                  <c:v>30</c:v>
                </c:pt>
                <c:pt idx="176">
                  <c:v>30</c:v>
                </c:pt>
                <c:pt idx="177">
                  <c:v>0</c:v>
                </c:pt>
                <c:pt idx="178">
                  <c:v>0</c:v>
                </c:pt>
                <c:pt idx="179">
                  <c:v>0</c:v>
                </c:pt>
                <c:pt idx="180">
                  <c:v>0</c:v>
                </c:pt>
                <c:pt idx="181">
                  <c:v>0</c:v>
                </c:pt>
                <c:pt idx="182">
                  <c:v>0</c:v>
                </c:pt>
                <c:pt idx="183">
                  <c:v>0</c:v>
                </c:pt>
                <c:pt idx="184">
                  <c:v>0</c:v>
                </c:pt>
                <c:pt idx="185">
                  <c:v>0</c:v>
                </c:pt>
                <c:pt idx="186">
                  <c:v>0</c:v>
                </c:pt>
                <c:pt idx="187">
                  <c:v>0</c:v>
                </c:pt>
                <c:pt idx="188">
                  <c:v>0</c:v>
                </c:pt>
                <c:pt idx="189">
                  <c:v>50</c:v>
                </c:pt>
                <c:pt idx="190">
                  <c:v>70</c:v>
                </c:pt>
                <c:pt idx="191">
                  <c:v>190</c:v>
                </c:pt>
                <c:pt idx="192">
                  <c:v>80</c:v>
                </c:pt>
                <c:pt idx="193">
                  <c:v>200</c:v>
                </c:pt>
                <c:pt idx="194">
                  <c:v>300</c:v>
                </c:pt>
                <c:pt idx="195">
                  <c:v>250</c:v>
                </c:pt>
                <c:pt idx="196">
                  <c:v>80</c:v>
                </c:pt>
                <c:pt idx="197">
                  <c:v>180</c:v>
                </c:pt>
                <c:pt idx="198">
                  <c:v>130</c:v>
                </c:pt>
                <c:pt idx="199">
                  <c:v>280</c:v>
                </c:pt>
                <c:pt idx="200">
                  <c:v>170</c:v>
                </c:pt>
                <c:pt idx="201">
                  <c:v>280</c:v>
                </c:pt>
                <c:pt idx="202">
                  <c:v>160</c:v>
                </c:pt>
                <c:pt idx="203">
                  <c:v>200</c:v>
                </c:pt>
                <c:pt idx="204">
                  <c:v>90</c:v>
                </c:pt>
                <c:pt idx="205">
                  <c:v>300</c:v>
                </c:pt>
                <c:pt idx="206">
                  <c:v>180</c:v>
                </c:pt>
                <c:pt idx="207">
                  <c:v>40</c:v>
                </c:pt>
                <c:pt idx="208">
                  <c:v>190</c:v>
                </c:pt>
                <c:pt idx="209">
                  <c:v>80</c:v>
                </c:pt>
                <c:pt idx="210">
                  <c:v>250</c:v>
                </c:pt>
                <c:pt idx="211">
                  <c:v>260</c:v>
                </c:pt>
                <c:pt idx="212">
                  <c:v>280</c:v>
                </c:pt>
                <c:pt idx="213">
                  <c:v>240</c:v>
                </c:pt>
                <c:pt idx="214">
                  <c:v>180</c:v>
                </c:pt>
                <c:pt idx="215">
                  <c:v>120</c:v>
                </c:pt>
                <c:pt idx="216">
                  <c:v>80</c:v>
                </c:pt>
                <c:pt idx="217">
                  <c:v>60</c:v>
                </c:pt>
                <c:pt idx="218">
                  <c:v>40</c:v>
                </c:pt>
                <c:pt idx="219">
                  <c:v>280</c:v>
                </c:pt>
                <c:pt idx="220">
                  <c:v>240</c:v>
                </c:pt>
                <c:pt idx="221">
                  <c:v>330</c:v>
                </c:pt>
                <c:pt idx="222">
                  <c:v>290</c:v>
                </c:pt>
                <c:pt idx="223">
                  <c:v>280</c:v>
                </c:pt>
                <c:pt idx="224">
                  <c:v>250</c:v>
                </c:pt>
                <c:pt idx="225">
                  <c:v>150</c:v>
                </c:pt>
                <c:pt idx="226">
                  <c:v>200</c:v>
                </c:pt>
                <c:pt idx="227">
                  <c:v>200</c:v>
                </c:pt>
                <c:pt idx="228">
                  <c:v>250</c:v>
                </c:pt>
                <c:pt idx="229">
                  <c:v>210</c:v>
                </c:pt>
                <c:pt idx="230">
                  <c:v>280</c:v>
                </c:pt>
                <c:pt idx="231">
                  <c:v>230</c:v>
                </c:pt>
                <c:pt idx="232">
                  <c:v>210</c:v>
                </c:pt>
                <c:pt idx="233">
                  <c:v>170</c:v>
                </c:pt>
                <c:pt idx="234">
                  <c:v>0</c:v>
                </c:pt>
                <c:pt idx="235">
                  <c:v>100</c:v>
                </c:pt>
                <c:pt idx="236">
                  <c:v>220</c:v>
                </c:pt>
                <c:pt idx="237">
                  <c:v>180</c:v>
                </c:pt>
                <c:pt idx="238">
                  <c:v>170</c:v>
                </c:pt>
                <c:pt idx="239">
                  <c:v>0</c:v>
                </c:pt>
                <c:pt idx="240">
                  <c:v>0</c:v>
                </c:pt>
                <c:pt idx="241">
                  <c:v>0</c:v>
                </c:pt>
                <c:pt idx="242">
                  <c:v>0</c:v>
                </c:pt>
                <c:pt idx="243">
                  <c:v>290</c:v>
                </c:pt>
                <c:pt idx="244">
                  <c:v>210</c:v>
                </c:pt>
                <c:pt idx="245">
                  <c:v>310</c:v>
                </c:pt>
                <c:pt idx="246">
                  <c:v>10</c:v>
                </c:pt>
                <c:pt idx="247">
                  <c:v>5</c:v>
                </c:pt>
                <c:pt idx="248">
                  <c:v>5</c:v>
                </c:pt>
                <c:pt idx="249">
                  <c:v>210</c:v>
                </c:pt>
                <c:pt idx="250">
                  <c:v>180</c:v>
                </c:pt>
                <c:pt idx="251">
                  <c:v>150</c:v>
                </c:pt>
                <c:pt idx="252">
                  <c:v>60</c:v>
                </c:pt>
                <c:pt idx="253">
                  <c:v>0</c:v>
                </c:pt>
                <c:pt idx="254">
                  <c:v>0</c:v>
                </c:pt>
                <c:pt idx="255">
                  <c:v>0</c:v>
                </c:pt>
                <c:pt idx="256">
                  <c:v>0</c:v>
                </c:pt>
                <c:pt idx="257">
                  <c:v>210</c:v>
                </c:pt>
                <c:pt idx="258">
                  <c:v>170</c:v>
                </c:pt>
                <c:pt idx="259">
                  <c:v>140</c:v>
                </c:pt>
              </c:numCache>
            </c:numRef>
          </c:yVal>
          <c:smooth val="0"/>
          <c:extLst>
            <c:ext xmlns:c16="http://schemas.microsoft.com/office/drawing/2014/chart" uri="{C3380CC4-5D6E-409C-BE32-E72D297353CC}">
              <c16:uniqueId val="{00000000-DF28-4433-9E83-BEE29AAF8582}"/>
            </c:ext>
          </c:extLst>
        </c:ser>
        <c:dLbls>
          <c:showLegendKey val="0"/>
          <c:showVal val="0"/>
          <c:showCatName val="0"/>
          <c:showSerName val="0"/>
          <c:showPercent val="0"/>
          <c:showBubbleSize val="0"/>
        </c:dLbls>
        <c:axId val="82552544"/>
        <c:axId val="82575584"/>
      </c:scatterChart>
      <c:valAx>
        <c:axId val="82552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575584"/>
        <c:crosses val="autoZero"/>
        <c:crossBetween val="midCat"/>
      </c:valAx>
      <c:valAx>
        <c:axId val="82575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5525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'Top N Items'!$L$3</c:f>
              <c:strCache>
                <c:ptCount val="1"/>
                <c:pt idx="0">
                  <c:v>Carbohydrates (gm)</c:v>
                </c:pt>
              </c:strCache>
            </c:strRef>
          </c:tx>
          <c:spPr>
            <a:solidFill>
              <a:schemeClr val="accent1"/>
            </a:solidFill>
            <a:ln>
              <a:noFill/>
            </a:ln>
            <a:effectLst/>
          </c:spPr>
          <c:invertIfNegative val="0"/>
          <c:cat>
            <c:strRef>
              <c:extLst>
                <c:ext xmlns:c15="http://schemas.microsoft.com/office/drawing/2012/chart" uri="{02D57815-91ED-43cb-92C2-25804820EDAC}">
                  <c15:fullRef>
                    <c15:sqref>'Top N Items'!$J$4:$K$9</c15:sqref>
                  </c15:fullRef>
                  <c15:levelRef>
                    <c15:sqref>'Top N Items'!$J$4:$J$9</c15:sqref>
                  </c15:levelRef>
                </c:ext>
              </c:extLst>
              <c:f>'Top N Items'!$J$4:$J$9</c:f>
              <c:strCache>
                <c:ptCount val="6"/>
                <c:pt idx="0">
                  <c:v>Chocolate Shake (Large)</c:v>
                </c:pt>
                <c:pt idx="1">
                  <c:v>Strawberry Shake (Large)</c:v>
                </c:pt>
                <c:pt idx="2">
                  <c:v>McFlurry with M&amp;Mâ€™s Candies (Medium)</c:v>
                </c:pt>
                <c:pt idx="3">
                  <c:v>Shamrock Shake (Large)</c:v>
                </c:pt>
                <c:pt idx="4">
                  <c:v>Vanilla Shake (Large)</c:v>
                </c:pt>
                <c:pt idx="5">
                  <c:v>Chicken McNuggets (40 piece)</c:v>
                </c:pt>
              </c:strCache>
            </c:strRef>
          </c:cat>
          <c:val>
            <c:numRef>
              <c:f>'Top N Items'!$L$4:$L$9</c:f>
              <c:numCache>
                <c:formatCode>General</c:formatCode>
                <c:ptCount val="6"/>
                <c:pt idx="0">
                  <c:v>141</c:v>
                </c:pt>
                <c:pt idx="1">
                  <c:v>140</c:v>
                </c:pt>
                <c:pt idx="2">
                  <c:v>139</c:v>
                </c:pt>
                <c:pt idx="3">
                  <c:v>135</c:v>
                </c:pt>
                <c:pt idx="4">
                  <c:v>135</c:v>
                </c:pt>
                <c:pt idx="5">
                  <c:v>118</c:v>
                </c:pt>
              </c:numCache>
            </c:numRef>
          </c:val>
          <c:extLst>
            <c:ext xmlns:c16="http://schemas.microsoft.com/office/drawing/2014/chart" uri="{C3380CC4-5D6E-409C-BE32-E72D297353CC}">
              <c16:uniqueId val="{00000000-5D48-4C42-B6C5-EC9E7043B3DC}"/>
            </c:ext>
          </c:extLst>
        </c:ser>
        <c:dLbls>
          <c:showLegendKey val="0"/>
          <c:showVal val="0"/>
          <c:showCatName val="0"/>
          <c:showSerName val="0"/>
          <c:showPercent val="0"/>
          <c:showBubbleSize val="0"/>
        </c:dLbls>
        <c:gapWidth val="182"/>
        <c:axId val="1560434767"/>
        <c:axId val="1560434287"/>
      </c:barChart>
      <c:catAx>
        <c:axId val="1560434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434287"/>
        <c:crosses val="autoZero"/>
        <c:auto val="1"/>
        <c:lblAlgn val="ctr"/>
        <c:lblOffset val="100"/>
        <c:noMultiLvlLbl val="0"/>
      </c:catAx>
      <c:valAx>
        <c:axId val="15604342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43476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Sugar value in Desserts</cx:v>
        </cx:txData>
      </cx:tx>
      <cx:txPr>
        <a:bodyPr spcFirstLastPara="1" vertOverflow="ellipsis" horzOverflow="overflow" wrap="square" lIns="0" tIns="0" rIns="0" bIns="0" anchor="ctr" anchorCtr="1"/>
        <a:lstStyle/>
        <a:p>
          <a:pPr algn="ctr" rtl="0">
            <a:defRPr b="1">
              <a:solidFill>
                <a:schemeClr val="bg1"/>
              </a:solidFill>
              <a:latin typeface="Arial Black" panose="020B0A04020102020204" pitchFamily="34" charset="0"/>
              <a:ea typeface="Arial Black" panose="020B0A04020102020204" pitchFamily="34" charset="0"/>
              <a:cs typeface="Arial Black" panose="020B0A04020102020204" pitchFamily="34" charset="0"/>
            </a:defRPr>
          </a:pPr>
          <a:r>
            <a:rPr lang="en-US" sz="1400" b="1" i="0" u="none" strike="noStrike" baseline="0">
              <a:solidFill>
                <a:schemeClr val="bg1"/>
              </a:solidFill>
              <a:latin typeface="Arial Black" panose="020B0A04020102020204" pitchFamily="34" charset="0"/>
            </a:rPr>
            <a:t>Sugar value in Desserts</a:t>
          </a:r>
        </a:p>
      </cx:txPr>
    </cx:title>
    <cx:plotArea>
      <cx:plotAreaRegion>
        <cx:plotSurface>
          <cx:spPr>
            <a:ln>
              <a:noFill/>
            </a:ln>
          </cx:spPr>
        </cx:plotSurface>
        <cx:series layoutId="sunburst" uniqueId="{8574548A-CA38-4AEE-B4E6-981424AFE7C0}">
          <cx:tx>
            <cx:txData>
              <cx:f>_xlchart.v1.1</cx:f>
              <cx:v>Sugars</cx:v>
            </cx:txData>
          </cx:tx>
          <cx:dataLabels pos="ctr">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Calibri" panose="020F0502020204030204"/>
                </a:endParaRPr>
              </a:p>
            </cx:txPr>
            <cx:visibility seriesName="0" categoryName="1" value="0"/>
          </cx:dataLabels>
          <cx:dataId val="0"/>
        </cx:series>
      </cx:plotAreaRegion>
    </cx:plotArea>
  </cx:chart>
  <cx:spPr>
    <a:gradFill flip="none" rotWithShape="1">
      <a:gsLst>
        <a:gs pos="0">
          <a:srgbClr val="FB7A65"/>
        </a:gs>
        <a:gs pos="39000">
          <a:srgbClr val="FB7A65"/>
        </a:gs>
        <a:gs pos="100000">
          <a:srgbClr val="FF0000"/>
        </a:gs>
      </a:gsLst>
      <a:lin ang="16200000" scaled="1"/>
      <a:tileRect/>
    </a:gradFill>
    <a:ln>
      <a:solidFill>
        <a:srgbClr val="FFC000"/>
      </a:solid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plotArea>
      <cx:plotAreaRegion>
        <cx:series layoutId="sunburst" uniqueId="{8574548A-CA38-4AEE-B4E6-981424AFE7C0}">
          <cx:tx>
            <cx:txData>
              <cx:f>_xlchart.v1.4</cx:f>
              <cx:v>Sugars</cx:v>
            </cx:txData>
          </cx:tx>
          <cx:dataLabels pos="ctr">
            <cx:visibility seriesName="0" categoryName="1" value="0"/>
          </cx:dataLabels>
          <cx:dataId val="0"/>
        </cx:series>
      </cx:plotAreaRegion>
    </cx:plotArea>
  </cx:chart>
</cx: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5">
  <a:schemeClr val="accent2"/>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K$19"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5.xml"/><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image" Target="../media/image1.jpeg"/><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17</xdr:col>
      <xdr:colOff>38100</xdr:colOff>
      <xdr:row>54</xdr:row>
      <xdr:rowOff>45720</xdr:rowOff>
    </xdr:from>
    <xdr:to>
      <xdr:col>24</xdr:col>
      <xdr:colOff>31102</xdr:colOff>
      <xdr:row>70</xdr:row>
      <xdr:rowOff>68580</xdr:rowOff>
    </xdr:to>
    <mc:AlternateContent xmlns:mc="http://schemas.openxmlformats.org/markup-compatibility/2006">
      <mc:Choice xmlns:cx1="http://schemas.microsoft.com/office/drawing/2015/9/8/chartex" Requires="cx1">
        <xdr:graphicFrame macro="">
          <xdr:nvGraphicFramePr>
            <xdr:cNvPr id="38" name="Chart 37">
              <a:extLst>
                <a:ext uri="{FF2B5EF4-FFF2-40B4-BE49-F238E27FC236}">
                  <a16:creationId xmlns:a16="http://schemas.microsoft.com/office/drawing/2014/main" id="{00000000-0008-0000-0400-00002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906000" y="10553700"/>
              <a:ext cx="4412602" cy="29489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7620</xdr:colOff>
      <xdr:row>18</xdr:row>
      <xdr:rowOff>175260</xdr:rowOff>
    </xdr:from>
    <xdr:to>
      <xdr:col>13</xdr:col>
      <xdr:colOff>434340</xdr:colOff>
      <xdr:row>34</xdr:row>
      <xdr:rowOff>0</xdr:rowOff>
    </xdr:to>
    <xdr:graphicFrame macro="">
      <xdr:nvGraphicFramePr>
        <xdr:cNvPr id="39" name="Chart 38">
          <a:extLst>
            <a:ext uri="{FF2B5EF4-FFF2-40B4-BE49-F238E27FC236}">
              <a16:creationId xmlns:a16="http://schemas.microsoft.com/office/drawing/2014/main" id="{00000000-0008-0000-04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68580</xdr:colOff>
      <xdr:row>54</xdr:row>
      <xdr:rowOff>45720</xdr:rowOff>
    </xdr:from>
    <xdr:to>
      <xdr:col>16</xdr:col>
      <xdr:colOff>586740</xdr:colOff>
      <xdr:row>70</xdr:row>
      <xdr:rowOff>76200</xdr:rowOff>
    </xdr:to>
    <xdr:graphicFrame macro="">
      <xdr:nvGraphicFramePr>
        <xdr:cNvPr id="43" name="Chart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99059</xdr:colOff>
      <xdr:row>34</xdr:row>
      <xdr:rowOff>106680</xdr:rowOff>
    </xdr:from>
    <xdr:to>
      <xdr:col>24</xdr:col>
      <xdr:colOff>31102</xdr:colOff>
      <xdr:row>53</xdr:row>
      <xdr:rowOff>160020</xdr:rowOff>
    </xdr:to>
    <xdr:graphicFrame macro="">
      <xdr:nvGraphicFramePr>
        <xdr:cNvPr id="45" name="Chart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4</xdr:row>
      <xdr:rowOff>178838</xdr:rowOff>
    </xdr:from>
    <xdr:to>
      <xdr:col>13</xdr:col>
      <xdr:colOff>426720</xdr:colOff>
      <xdr:row>18</xdr:row>
      <xdr:rowOff>7621</xdr:rowOff>
    </xdr:to>
    <xdr:graphicFrame macro="">
      <xdr:nvGraphicFramePr>
        <xdr:cNvPr id="46" name="Chart 45">
          <a:extLst>
            <a:ext uri="{FF2B5EF4-FFF2-40B4-BE49-F238E27FC236}">
              <a16:creationId xmlns:a16="http://schemas.microsoft.com/office/drawing/2014/main" id="{00000000-0008-0000-04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85530</xdr:colOff>
      <xdr:row>0</xdr:row>
      <xdr:rowOff>0</xdr:rowOff>
    </xdr:from>
    <xdr:to>
      <xdr:col>4</xdr:col>
      <xdr:colOff>15239</xdr:colOff>
      <xdr:row>4</xdr:row>
      <xdr:rowOff>15550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5530" y="0"/>
          <a:ext cx="2759995" cy="761999"/>
        </a:xfrm>
        <a:prstGeom prst="rect">
          <a:avLst/>
        </a:prstGeom>
      </xdr:spPr>
    </xdr:pic>
    <xdr:clientData/>
  </xdr:twoCellAnchor>
  <xdr:twoCellAnchor editAs="oneCell">
    <xdr:from>
      <xdr:col>0</xdr:col>
      <xdr:colOff>53340</xdr:colOff>
      <xdr:row>34</xdr:row>
      <xdr:rowOff>99060</xdr:rowOff>
    </xdr:from>
    <xdr:to>
      <xdr:col>3</xdr:col>
      <xdr:colOff>1508760</xdr:colOff>
      <xdr:row>52</xdr:row>
      <xdr:rowOff>99060</xdr:rowOff>
    </xdr:to>
    <mc:AlternateContent xmlns:mc="http://schemas.openxmlformats.org/markup-compatibility/2006" xmlns:a14="http://schemas.microsoft.com/office/drawing/2010/main">
      <mc:Choice Requires="a14">
        <xdr:graphicFrame macro="">
          <xdr:nvGraphicFramePr>
            <xdr:cNvPr id="44" name="Category_Slicer">
              <a:extLst>
                <a:ext uri="{FF2B5EF4-FFF2-40B4-BE49-F238E27FC236}">
                  <a16:creationId xmlns:a16="http://schemas.microsoft.com/office/drawing/2014/main" id="{00000000-0008-0000-0400-00002C000000}"/>
                </a:ext>
              </a:extLst>
            </xdr:cNvPr>
            <xdr:cNvGraphicFramePr/>
          </xdr:nvGraphicFramePr>
          <xdr:xfrm>
            <a:off x="0" y="0"/>
            <a:ext cx="0" cy="0"/>
          </xdr:xfrm>
          <a:graphic>
            <a:graphicData uri="http://schemas.microsoft.com/office/drawing/2010/slicer">
              <sle:slicer xmlns:sle="http://schemas.microsoft.com/office/drawing/2010/slicer" name="Category_Slicer"/>
            </a:graphicData>
          </a:graphic>
        </xdr:graphicFrame>
      </mc:Choice>
      <mc:Fallback xmlns="">
        <xdr:sp macro="" textlink="">
          <xdr:nvSpPr>
            <xdr:cNvPr id="0" name=""/>
            <xdr:cNvSpPr>
              <a:spLocks noTextEdit="1"/>
            </xdr:cNvSpPr>
          </xdr:nvSpPr>
          <xdr:spPr>
            <a:xfrm>
              <a:off x="53340" y="6894856"/>
              <a:ext cx="2769481" cy="33590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15551</xdr:colOff>
      <xdr:row>0</xdr:row>
      <xdr:rowOff>15552</xdr:rowOff>
    </xdr:from>
    <xdr:to>
      <xdr:col>23</xdr:col>
      <xdr:colOff>590939</xdr:colOff>
      <xdr:row>4</xdr:row>
      <xdr:rowOff>1</xdr:rowOff>
    </xdr:to>
    <xdr:sp macro="" textlink="">
      <xdr:nvSpPr>
        <xdr:cNvPr id="5" name="Rectangle 4">
          <a:extLst>
            <a:ext uri="{FF2B5EF4-FFF2-40B4-BE49-F238E27FC236}">
              <a16:creationId xmlns:a16="http://schemas.microsoft.com/office/drawing/2014/main" id="{00000000-0008-0000-0400-000005000000}"/>
            </a:ext>
          </a:extLst>
        </xdr:cNvPr>
        <xdr:cNvSpPr/>
      </xdr:nvSpPr>
      <xdr:spPr>
        <a:xfrm>
          <a:off x="2954694" y="15552"/>
          <a:ext cx="11274490" cy="730898"/>
        </a:xfrm>
        <a:prstGeom prst="rect">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5400000" scaled="1"/>
          <a:tileRect/>
        </a:gra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163286</xdr:colOff>
      <xdr:row>1</xdr:row>
      <xdr:rowOff>15551</xdr:rowOff>
    </xdr:from>
    <xdr:to>
      <xdr:col>19</xdr:col>
      <xdr:colOff>311020</xdr:colOff>
      <xdr:row>3</xdr:row>
      <xdr:rowOff>62203</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4921898" y="202163"/>
          <a:ext cx="6601408" cy="419877"/>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a:solidFill>
                <a:srgbClr val="FFC000"/>
              </a:solidFill>
              <a:latin typeface="Bodoni MT Black" panose="02070A03080606020203" pitchFamily="18" charset="0"/>
            </a:rPr>
            <a:t>Mcdonalds's Nutrition</a:t>
          </a:r>
          <a:r>
            <a:rPr lang="en-IN" sz="2000" b="1" baseline="0">
              <a:solidFill>
                <a:srgbClr val="FFC000"/>
              </a:solidFill>
              <a:latin typeface="Bodoni MT Black" panose="02070A03080606020203" pitchFamily="18" charset="0"/>
            </a:rPr>
            <a:t> Analysis Dashboard</a:t>
          </a:r>
          <a:endParaRPr lang="en-IN" sz="2000" b="1">
            <a:solidFill>
              <a:srgbClr val="FFC000"/>
            </a:solidFill>
            <a:latin typeface="Bodoni MT Black" panose="02070A03080606020203" pitchFamily="18" charset="0"/>
          </a:endParaRPr>
        </a:p>
      </xdr:txBody>
    </xdr:sp>
    <xdr:clientData/>
  </xdr:twoCellAnchor>
  <xdr:twoCellAnchor>
    <xdr:from>
      <xdr:col>13</xdr:col>
      <xdr:colOff>552061</xdr:colOff>
      <xdr:row>4</xdr:row>
      <xdr:rowOff>178837</xdr:rowOff>
    </xdr:from>
    <xdr:to>
      <xdr:col>24</xdr:col>
      <xdr:colOff>7775</xdr:colOff>
      <xdr:row>34</xdr:row>
      <xdr:rowOff>0</xdr:rowOff>
    </xdr:to>
    <xdr:graphicFrame macro="">
      <xdr:nvGraphicFramePr>
        <xdr:cNvPr id="2" name="Chart 1">
          <a:extLst>
            <a:ext uri="{FF2B5EF4-FFF2-40B4-BE49-F238E27FC236}">
              <a16:creationId xmlns:a16="http://schemas.microsoft.com/office/drawing/2014/main" id="{C2CE3DE8-8023-41B4-BDE1-B9BE7CC0F4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586740</xdr:colOff>
      <xdr:row>2</xdr:row>
      <xdr:rowOff>137160</xdr:rowOff>
    </xdr:from>
    <xdr:to>
      <xdr:col>13</xdr:col>
      <xdr:colOff>320040</xdr:colOff>
      <xdr:row>19</xdr:row>
      <xdr:rowOff>83820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702040" y="502920"/>
              <a:ext cx="3390900" cy="30556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220980</xdr:colOff>
      <xdr:row>3</xdr:row>
      <xdr:rowOff>38100</xdr:rowOff>
    </xdr:from>
    <xdr:to>
      <xdr:col>11</xdr:col>
      <xdr:colOff>220980</xdr:colOff>
      <xdr:row>16</xdr:row>
      <xdr:rowOff>127635</xdr:rowOff>
    </xdr:to>
    <mc:AlternateContent xmlns:mc="http://schemas.openxmlformats.org/markup-compatibility/2006" xmlns:a14="http://schemas.microsoft.com/office/drawing/2010/main">
      <mc:Choice Requires="a14">
        <xdr:graphicFrame macro="">
          <xdr:nvGraphicFramePr>
            <xdr:cNvPr id="2" name="Category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0393680" y="5867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259080</xdr:colOff>
      <xdr:row>9</xdr:row>
      <xdr:rowOff>152400</xdr:rowOff>
    </xdr:from>
    <xdr:to>
      <xdr:col>15</xdr:col>
      <xdr:colOff>411480</xdr:colOff>
      <xdr:row>32</xdr:row>
      <xdr:rowOff>167640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441960</xdr:colOff>
          <xdr:row>1</xdr:row>
          <xdr:rowOff>152400</xdr:rowOff>
        </xdr:from>
        <xdr:to>
          <xdr:col>13</xdr:col>
          <xdr:colOff>396240</xdr:colOff>
          <xdr:row>4</xdr:row>
          <xdr:rowOff>38100</xdr:rowOff>
        </xdr:to>
        <xdr:sp macro="" textlink="">
          <xdr:nvSpPr>
            <xdr:cNvPr id="12296" name="Option Button 8" hidden="1">
              <a:extLst>
                <a:ext uri="{63B3BB69-23CF-44E3-9099-C40C66FF867C}">
                  <a14:compatExt spid="_x0000_s12296"/>
                </a:ext>
                <a:ext uri="{FF2B5EF4-FFF2-40B4-BE49-F238E27FC236}">
                  <a16:creationId xmlns:a16="http://schemas.microsoft.com/office/drawing/2014/main" id="{00000000-0008-0000-0800-00000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Breakfast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449580</xdr:colOff>
          <xdr:row>3</xdr:row>
          <xdr:rowOff>114300</xdr:rowOff>
        </xdr:from>
        <xdr:to>
          <xdr:col>12</xdr:col>
          <xdr:colOff>167640</xdr:colOff>
          <xdr:row>5</xdr:row>
          <xdr:rowOff>167640</xdr:rowOff>
        </xdr:to>
        <xdr:sp macro="" textlink="">
          <xdr:nvSpPr>
            <xdr:cNvPr id="12297" name="Option Button 9" hidden="1">
              <a:extLst>
                <a:ext uri="{63B3BB69-23CF-44E3-9099-C40C66FF867C}">
                  <a14:compatExt spid="_x0000_s12297"/>
                </a:ext>
                <a:ext uri="{FF2B5EF4-FFF2-40B4-BE49-F238E27FC236}">
                  <a16:creationId xmlns:a16="http://schemas.microsoft.com/office/drawing/2014/main" id="{00000000-0008-0000-0800-00000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Chicken_Fish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457200</xdr:colOff>
          <xdr:row>5</xdr:row>
          <xdr:rowOff>76200</xdr:rowOff>
        </xdr:from>
        <xdr:to>
          <xdr:col>12</xdr:col>
          <xdr:colOff>175260</xdr:colOff>
          <xdr:row>7</xdr:row>
          <xdr:rowOff>129540</xdr:rowOff>
        </xdr:to>
        <xdr:sp macro="" textlink="">
          <xdr:nvSpPr>
            <xdr:cNvPr id="12302" name="Option Button 14" hidden="1">
              <a:extLst>
                <a:ext uri="{63B3BB69-23CF-44E3-9099-C40C66FF867C}">
                  <a14:compatExt spid="_x0000_s12302"/>
                </a:ext>
                <a:ext uri="{FF2B5EF4-FFF2-40B4-BE49-F238E27FC236}">
                  <a16:creationId xmlns:a16="http://schemas.microsoft.com/office/drawing/2014/main" id="{1F28A6F0-8B86-1F13-B655-41B2DFE9BB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Beef_Pork</a:t>
              </a:r>
            </a:p>
          </xdr:txBody>
        </xdr:sp>
        <xdr:clientData/>
      </xdr:twoCellAnchor>
    </mc:Choice>
    <mc:Fallback/>
  </mc:AlternateContent>
  <xdr:twoCellAnchor>
    <xdr:from>
      <xdr:col>6</xdr:col>
      <xdr:colOff>358140</xdr:colOff>
      <xdr:row>9</xdr:row>
      <xdr:rowOff>15240</xdr:rowOff>
    </xdr:from>
    <xdr:to>
      <xdr:col>12</xdr:col>
      <xdr:colOff>129540</xdr:colOff>
      <xdr:row>24</xdr:row>
      <xdr:rowOff>15240</xdr:rowOff>
    </xdr:to>
    <xdr:graphicFrame macro="">
      <xdr:nvGraphicFramePr>
        <xdr:cNvPr id="4" name="Chart 3">
          <a:extLst>
            <a:ext uri="{FF2B5EF4-FFF2-40B4-BE49-F238E27FC236}">
              <a16:creationId xmlns:a16="http://schemas.microsoft.com/office/drawing/2014/main" id="{18EABFAA-5A08-70A9-F074-7C0B3E998E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754380</xdr:colOff>
      <xdr:row>0</xdr:row>
      <xdr:rowOff>106680</xdr:rowOff>
    </xdr:from>
    <xdr:to>
      <xdr:col>4</xdr:col>
      <xdr:colOff>7620</xdr:colOff>
      <xdr:row>14</xdr:row>
      <xdr:rowOff>13335</xdr:rowOff>
    </xdr:to>
    <mc:AlternateContent xmlns:mc="http://schemas.openxmlformats.org/markup-compatibility/2006" xmlns:a14="http://schemas.microsoft.com/office/drawing/2010/main">
      <mc:Choice Requires="a14">
        <xdr:graphicFrame macro="">
          <xdr:nvGraphicFramePr>
            <xdr:cNvPr id="2" name="Category 2">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3177540" y="1066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160020</xdr:colOff>
      <xdr:row>3</xdr:row>
      <xdr:rowOff>45720</xdr:rowOff>
    </xdr:from>
    <xdr:to>
      <xdr:col>12</xdr:col>
      <xdr:colOff>464820</xdr:colOff>
      <xdr:row>18</xdr:row>
      <xdr:rowOff>45720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11</xdr:row>
      <xdr:rowOff>0</xdr:rowOff>
    </xdr:from>
    <xdr:to>
      <xdr:col>4</xdr:col>
      <xdr:colOff>3070860</xdr:colOff>
      <xdr:row>26</xdr:row>
      <xdr:rowOff>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205740</xdr:colOff>
      <xdr:row>3</xdr:row>
      <xdr:rowOff>106680</xdr:rowOff>
    </xdr:from>
    <xdr:to>
      <xdr:col>19</xdr:col>
      <xdr:colOff>510540</xdr:colOff>
      <xdr:row>18</xdr:row>
      <xdr:rowOff>106680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1409700</xdr:colOff>
      <xdr:row>0</xdr:row>
      <xdr:rowOff>121920</xdr:rowOff>
    </xdr:from>
    <xdr:to>
      <xdr:col>5</xdr:col>
      <xdr:colOff>1577340</xdr:colOff>
      <xdr:row>14</xdr:row>
      <xdr:rowOff>28575</xdr:rowOff>
    </xdr:to>
    <mc:AlternateContent xmlns:mc="http://schemas.openxmlformats.org/markup-compatibility/2006" xmlns:a14="http://schemas.microsoft.com/office/drawing/2010/main">
      <mc:Choice Requires="a14">
        <xdr:graphicFrame macro="">
          <xdr:nvGraphicFramePr>
            <xdr:cNvPr id="2" name="Category">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8100060" y="1219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yabini Venkatesan" refreshedDate="45106.540691319446" backgroundQuery="1" createdVersion="8" refreshedVersion="8" minRefreshableVersion="3" recordCount="0" supportSubquery="1" supportAdvancedDrill="1" xr:uid="{43A54D9C-898E-44D8-9D87-EF613D4BF64B}">
  <cacheSource type="external" connectionId="1"/>
  <cacheFields count="7">
    <cacheField name="[Range 1].[Protein].[Protein]" caption="Protein" numFmtId="0" hierarchy="44" level="1">
      <sharedItems containsSemiMixedTypes="0" containsNonDate="0" containsString="0"/>
    </cacheField>
    <cacheField name="[Range 1].[Cholesterol].[Cholesterol]" caption="Cholesterol" numFmtId="0" hierarchy="35" level="1">
      <sharedItems containsSemiMixedTypes="0" containsNonDate="0" containsString="0"/>
    </cacheField>
    <cacheField name="[Range 1].[Sodium].[Sodium]" caption="Sodium" numFmtId="0" hierarchy="37" level="1">
      <sharedItems containsSemiMixedTypes="0" containsNonDate="0" containsString="0"/>
    </cacheField>
    <cacheField name="[Range 1].[Calories from Fat].[Calories from Fat]" caption="Calories from Fat" numFmtId="0" hierarchy="28" level="1">
      <sharedItems containsSemiMixedTypes="0" containsNonDate="0" containsString="0"/>
    </cacheField>
    <cacheField name="[Range 1].[Item].[Item]" caption="Item" numFmtId="0" hierarchy="25" level="1">
      <sharedItems count="10">
        <s v="Big Breakfast with Hotcakes (Large Biscuit)"/>
        <s v="Big Breakfast with Hotcakes and Egg Whites (Large Biscuit)"/>
        <s v="Chicken McNuggets (40 piece)"/>
        <s v="Chocolate Shake (Large)"/>
        <s v="Chocolate Shake (Medium)"/>
        <s v="McFlurry with M&amp;Mâ€™s Candies (Medium)"/>
        <s v="McFlurry with Reese's Peanut Butter Cups (Medium)"/>
        <s v="Shamrock Shake (Large)"/>
        <s v="Strawberry Shake (Large)"/>
        <s v="Vanilla Shake (Large)"/>
      </sharedItems>
    </cacheField>
    <cacheField name="[Measures].[Sum of Carbohydrates]" caption="Sum of Carbohydrates" numFmtId="0" hierarchy="82" level="32767"/>
    <cacheField name="[Range 1].[Category].[Category]" caption="Category" numFmtId="0" hierarchy="24" level="1">
      <sharedItems count="3">
        <s v="Breakfast"/>
        <s v="Chicken_Fish"/>
        <s v="Smoothies_Shakes"/>
      </sharedItems>
    </cacheField>
  </cacheFields>
  <cacheHierarchies count="85">
    <cacheHierarchy uniqueName="[Range].[Category]" caption="Category" attribute="1" defaultMemberUniqueName="[Range].[Category].[All]" allUniqueName="[Range].[Category].[All]" dimensionUniqueName="[Range]" displayFolder="" count="0" memberValueDatatype="130" unbalanced="0"/>
    <cacheHierarchy uniqueName="[Range].[Item]" caption="Item" attribute="1" defaultMemberUniqueName="[Range].[Item].[All]" allUniqueName="[Range].[Item].[All]" dimensionUniqueName="[Range]" displayFolder="" count="0" memberValueDatatype="130" unbalanced="0"/>
    <cacheHierarchy uniqueName="[Range].[Serving Size]" caption="Serving Size" attribute="1" defaultMemberUniqueName="[Range].[Serving Size].[All]" allUniqueName="[Range].[Serving Size].[All]" dimensionUniqueName="[Range]" displayFolder="" count="0" memberValueDatatype="130" unbalanced="0"/>
    <cacheHierarchy uniqueName="[Range].[Calories]" caption="Calories" attribute="1" defaultMemberUniqueName="[Range].[Calories].[All]" allUniqueName="[Range].[Calories].[All]" dimensionUniqueName="[Range]" displayFolder="" count="0" memberValueDatatype="20" unbalanced="0"/>
    <cacheHierarchy uniqueName="[Range].[Calories from Fat]" caption="Calories from Fat" attribute="1" defaultMemberUniqueName="[Range].[Calories from Fat].[All]" allUniqueName="[Range].[Calories from Fat].[All]" dimensionUniqueName="[Range]" displayFolder="" count="0" memberValueDatatype="20" unbalanced="0"/>
    <cacheHierarchy uniqueName="[Range].[Total Fat]" caption="Total Fat" attribute="1" defaultMemberUniqueName="[Range].[Total Fat].[All]" allUniqueName="[Range].[Total Fat].[All]" dimensionUniqueName="[Range]" displayFolder="" count="0" memberValueDatatype="5" unbalanced="0"/>
    <cacheHierarchy uniqueName="[Range].[Total Fat (% Daily Value)]" caption="Total Fat (% Daily Value)" attribute="1" defaultMemberUniqueName="[Range].[Total Fat (% Daily Value)].[All]" allUniqueName="[Range].[Total Fat (% Daily Value)].[All]" dimensionUniqueName="[Range]" displayFolder="" count="0" memberValueDatatype="20" unbalanced="0"/>
    <cacheHierarchy uniqueName="[Range].[Saturated Fat]" caption="Saturated Fat" attribute="1" defaultMemberUniqueName="[Range].[Saturated Fat].[All]" allUniqueName="[Range].[Saturated Fat].[All]" dimensionUniqueName="[Range]" displayFolder="" count="0" memberValueDatatype="5" unbalanced="0"/>
    <cacheHierarchy uniqueName="[Range].[Saturated Fat (% Daily Value)]" caption="Saturated Fat (% Daily Value)" attribute="1" defaultMemberUniqueName="[Range].[Saturated Fat (% Daily Value)].[All]" allUniqueName="[Range].[Saturated Fat (% Daily Value)].[All]" dimensionUniqueName="[Range]" displayFolder="" count="0" memberValueDatatype="20" unbalanced="0"/>
    <cacheHierarchy uniqueName="[Range].[Trans Fat]" caption="Trans Fat" attribute="1" defaultMemberUniqueName="[Range].[Trans Fat].[All]" allUniqueName="[Range].[Trans Fat].[All]" dimensionUniqueName="[Range]" displayFolder="" count="0" memberValueDatatype="5" unbalanced="0"/>
    <cacheHierarchy uniqueName="[Range].[Cholesterol]" caption="Cholesterol" attribute="1" defaultMemberUniqueName="[Range].[Cholesterol].[All]" allUniqueName="[Range].[Cholesterol].[All]" dimensionUniqueName="[Range]" displayFolder="" count="0" memberValueDatatype="20" unbalanced="0"/>
    <cacheHierarchy uniqueName="[Range].[Cholesterol (% Daily Value)]" caption="Cholesterol (% Daily Value)" attribute="1" defaultMemberUniqueName="[Range].[Cholesterol (% Daily Value)].[All]" allUniqueName="[Range].[Cholesterol (% Daily Value)].[All]" dimensionUniqueName="[Range]" displayFolder="" count="0" memberValueDatatype="20" unbalanced="0"/>
    <cacheHierarchy uniqueName="[Range].[Sodium]" caption="Sodium" attribute="1" defaultMemberUniqueName="[Range].[Sodium].[All]" allUniqueName="[Range].[Sodium].[All]" dimensionUniqueName="[Range]" displayFolder="" count="0" memberValueDatatype="20" unbalanced="0"/>
    <cacheHierarchy uniqueName="[Range].[Sodium (% Daily Value)]" caption="Sodium (% Daily Value)" attribute="1" defaultMemberUniqueName="[Range].[Sodium (% Daily Value)].[All]" allUniqueName="[Range].[Sodium (% Daily Value)].[All]" dimensionUniqueName="[Range]" displayFolder="" count="0" memberValueDatatype="20" unbalanced="0"/>
    <cacheHierarchy uniqueName="[Range].[Carbohydrates]" caption="Carbohydrates" attribute="1" defaultMemberUniqueName="[Range].[Carbohydrates].[All]" allUniqueName="[Range].[Carbohydrates].[All]" dimensionUniqueName="[Range]" displayFolder="" count="0" memberValueDatatype="20" unbalanced="0"/>
    <cacheHierarchy uniqueName="[Range].[Carbohydrates (% Daily Value)]" caption="Carbohydrates (% Daily Value)" attribute="1" defaultMemberUniqueName="[Range].[Carbohydrates (% Daily Value)].[All]" allUniqueName="[Range].[Carbohydrates (% Daily Value)].[All]" dimensionUniqueName="[Range]" displayFolder="" count="0" memberValueDatatype="20" unbalanced="0"/>
    <cacheHierarchy uniqueName="[Range].[Dietary Fiber]" caption="Dietary Fiber" attribute="1" defaultMemberUniqueName="[Range].[Dietary Fiber].[All]" allUniqueName="[Range].[Dietary Fiber].[All]" dimensionUniqueName="[Range]" displayFolder="" count="0" memberValueDatatype="20" unbalanced="0"/>
    <cacheHierarchy uniqueName="[Range].[Dietary Fiber (% Daily Value)]" caption="Dietary Fiber (% Daily Value)" attribute="1" defaultMemberUniqueName="[Range].[Dietary Fiber (% Daily Value)].[All]" allUniqueName="[Range].[Dietary Fiber (% Daily Value)].[All]" dimensionUniqueName="[Range]" displayFolder="" count="0" memberValueDatatype="20" unbalanced="0"/>
    <cacheHierarchy uniqueName="[Range].[Sugars]" caption="Sugars" attribute="1" defaultMemberUniqueName="[Range].[Sugars].[All]" allUniqueName="[Range].[Sugars].[All]" dimensionUniqueName="[Range]" displayFolder="" count="0" memberValueDatatype="20" unbalanced="0"/>
    <cacheHierarchy uniqueName="[Range].[Protein]" caption="Protein" attribute="1" defaultMemberUniqueName="[Range].[Protein].[All]" allUniqueName="[Range].[Protein].[All]" dimensionUniqueName="[Range]" displayFolder="" count="0" memberValueDatatype="20" unbalanced="0"/>
    <cacheHierarchy uniqueName="[Range].[Vitamin A (% Daily Value)]" caption="Vitamin A (% Daily Value)" attribute="1" defaultMemberUniqueName="[Range].[Vitamin A (% Daily Value)].[All]" allUniqueName="[Range].[Vitamin A (% Daily Value)].[All]" dimensionUniqueName="[Range]" displayFolder="" count="0" memberValueDatatype="20" unbalanced="0"/>
    <cacheHierarchy uniqueName="[Range].[Vitamin C (% Daily Value)]" caption="Vitamin C (% Daily Value)" attribute="1" defaultMemberUniqueName="[Range].[Vitamin C (% Daily Value)].[All]" allUniqueName="[Range].[Vitamin C (% Daily Value)].[All]" dimensionUniqueName="[Range]" displayFolder="" count="0" memberValueDatatype="20" unbalanced="0"/>
    <cacheHierarchy uniqueName="[Range].[Calcium (% Daily Value)]" caption="Calcium (% Daily Value)" attribute="1" defaultMemberUniqueName="[Range].[Calcium (% Daily Value)].[All]" allUniqueName="[Range].[Calcium (% Daily Value)].[All]" dimensionUniqueName="[Range]" displayFolder="" count="0" memberValueDatatype="20" unbalanced="0"/>
    <cacheHierarchy uniqueName="[Range].[Iron (% Daily Value)]" caption="Iron (% Daily Value)" attribute="1" defaultMemberUniqueName="[Range].[Iron (% Daily Value)].[All]" allUniqueName="[Range].[Iron (% Daily Value)].[All]" dimensionUniqueName="[Range]" displayFolder="" count="0" memberValueDatatype="20" unbalanced="0"/>
    <cacheHierarchy uniqueName="[Range 1].[Category]" caption="Category" attribute="1" defaultMemberUniqueName="[Range 1].[Category].[All]" allUniqueName="[Range 1].[Category].[All]" dimensionUniqueName="[Range 1]" displayFolder="" count="2" memberValueDatatype="130" unbalanced="0">
      <fieldsUsage count="2">
        <fieldUsage x="-1"/>
        <fieldUsage x="6"/>
      </fieldsUsage>
    </cacheHierarchy>
    <cacheHierarchy uniqueName="[Range 1].[Item]" caption="Item" attribute="1" defaultMemberUniqueName="[Range 1].[Item].[All]" allUniqueName="[Range 1].[Item].[All]" dimensionUniqueName="[Range 1]" displayFolder="" count="2" memberValueDatatype="130" unbalanced="0">
      <fieldsUsage count="2">
        <fieldUsage x="-1"/>
        <fieldUsage x="4"/>
      </fieldsUsage>
    </cacheHierarchy>
    <cacheHierarchy uniqueName="[Range 1].[Serving Size]" caption="Serving Size" attribute="1" defaultMemberUniqueName="[Range 1].[Serving Size].[All]" allUniqueName="[Range 1].[Serving Size].[All]" dimensionUniqueName="[Range 1]" displayFolder="" count="0" memberValueDatatype="130" unbalanced="0"/>
    <cacheHierarchy uniqueName="[Range 1].[Calories]" caption="Calories" attribute="1" defaultMemberUniqueName="[Range 1].[Calories].[All]" allUniqueName="[Range 1].[Calories].[All]" dimensionUniqueName="[Range 1]" displayFolder="" count="0" memberValueDatatype="20" unbalanced="0"/>
    <cacheHierarchy uniqueName="[Range 1].[Calories from Fat]" caption="Calories from Fat" attribute="1" defaultMemberUniqueName="[Range 1].[Calories from Fat].[All]" allUniqueName="[Range 1].[Calories from Fat].[All]" dimensionUniqueName="[Range 1]" displayFolder="" count="2" memberValueDatatype="20" unbalanced="0">
      <fieldsUsage count="2">
        <fieldUsage x="-1"/>
        <fieldUsage x="3"/>
      </fieldsUsage>
    </cacheHierarchy>
    <cacheHierarchy uniqueName="[Range 1].[FatCaloriesPercent]" caption="FatCaloriesPercent" attribute="1" defaultMemberUniqueName="[Range 1].[FatCaloriesPercent].[All]" allUniqueName="[Range 1].[FatCaloriesPercent].[All]" dimensionUniqueName="[Range 1]" displayFolder="" count="0" memberValueDatatype="5" unbalanced="0"/>
    <cacheHierarchy uniqueName="[Range 1].[Total Fat]" caption="Total Fat" attribute="1" defaultMemberUniqueName="[Range 1].[Total Fat].[All]" allUniqueName="[Range 1].[Total Fat].[All]" dimensionUniqueName="[Range 1]" displayFolder="" count="0" memberValueDatatype="5" unbalanced="0"/>
    <cacheHierarchy uniqueName="[Range 1].[Total Fat (% Daily Value)]" caption="Total Fat (% Daily Value)" attribute="1" defaultMemberUniqueName="[Range 1].[Total Fat (% Daily Value)].[All]" allUniqueName="[Range 1].[Total Fat (% Daily Value)].[All]" dimensionUniqueName="[Range 1]" displayFolder="" count="0" memberValueDatatype="20" unbalanced="0"/>
    <cacheHierarchy uniqueName="[Range 1].[Saturated Fat]" caption="Saturated Fat" attribute="1" defaultMemberUniqueName="[Range 1].[Saturated Fat].[All]" allUniqueName="[Range 1].[Saturated Fat].[All]" dimensionUniqueName="[Range 1]" displayFolder="" count="0" memberValueDatatype="5" unbalanced="0"/>
    <cacheHierarchy uniqueName="[Range 1].[Saturated Fat (% Daily Value)]" caption="Saturated Fat (% Daily Value)" attribute="1" defaultMemberUniqueName="[Range 1].[Saturated Fat (% Daily Value)].[All]" allUniqueName="[Range 1].[Saturated Fat (% Daily Value)].[All]" dimensionUniqueName="[Range 1]" displayFolder="" count="0" memberValueDatatype="20" unbalanced="0"/>
    <cacheHierarchy uniqueName="[Range 1].[Trans Fat]" caption="Trans Fat" attribute="1" defaultMemberUniqueName="[Range 1].[Trans Fat].[All]" allUniqueName="[Range 1].[Trans Fat].[All]" dimensionUniqueName="[Range 1]" displayFolder="" count="0" memberValueDatatype="5" unbalanced="0"/>
    <cacheHierarchy uniqueName="[Range 1].[Cholesterol]" caption="Cholesterol" attribute="1" defaultMemberUniqueName="[Range 1].[Cholesterol].[All]" allUniqueName="[Range 1].[Cholesterol].[All]" dimensionUniqueName="[Range 1]" displayFolder="" count="2" memberValueDatatype="20" unbalanced="0">
      <fieldsUsage count="2">
        <fieldUsage x="-1"/>
        <fieldUsage x="1"/>
      </fieldsUsage>
    </cacheHierarchy>
    <cacheHierarchy uniqueName="[Range 1].[Cholesterol (% Daily Value)]" caption="Cholesterol (% Daily Value)" attribute="1" defaultMemberUniqueName="[Range 1].[Cholesterol (% Daily Value)].[All]" allUniqueName="[Range 1].[Cholesterol (% Daily Value)].[All]" dimensionUniqueName="[Range 1]" displayFolder="" count="0" memberValueDatatype="20" unbalanced="0"/>
    <cacheHierarchy uniqueName="[Range 1].[Sodium]" caption="Sodium" attribute="1" defaultMemberUniqueName="[Range 1].[Sodium].[All]" allUniqueName="[Range 1].[Sodium].[All]" dimensionUniqueName="[Range 1]" displayFolder="" count="2" memberValueDatatype="20" unbalanced="0">
      <fieldsUsage count="2">
        <fieldUsage x="-1"/>
        <fieldUsage x="2"/>
      </fieldsUsage>
    </cacheHierarchy>
    <cacheHierarchy uniqueName="[Range 1].[Sodium (% Daily Value)]" caption="Sodium (% Daily Value)" attribute="1" defaultMemberUniqueName="[Range 1].[Sodium (% Daily Value)].[All]" allUniqueName="[Range 1].[Sodium (% Daily Value)].[All]" dimensionUniqueName="[Range 1]" displayFolder="" count="0" memberValueDatatype="20" unbalanced="0"/>
    <cacheHierarchy uniqueName="[Range 1].[Carbohydrates]" caption="Carbohydrates" attribute="1" defaultMemberUniqueName="[Range 1].[Carbohydrates].[All]" allUniqueName="[Range 1].[Carbohydrates].[All]" dimensionUniqueName="[Range 1]" displayFolder="" count="0" memberValueDatatype="20" unbalanced="0"/>
    <cacheHierarchy uniqueName="[Range 1].[Carbohydrates (% Daily Value)]" caption="Carbohydrates (% Daily Value)" attribute="1" defaultMemberUniqueName="[Range 1].[Carbohydrates (% Daily Value)].[All]" allUniqueName="[Range 1].[Carbohydrates (% Daily Value)].[All]" dimensionUniqueName="[Range 1]" displayFolder="" count="0" memberValueDatatype="20" unbalanced="0"/>
    <cacheHierarchy uniqueName="[Range 1].[Dietary Fiber]" caption="Dietary Fiber" attribute="1" defaultMemberUniqueName="[Range 1].[Dietary Fiber].[All]" allUniqueName="[Range 1].[Dietary Fiber].[All]" dimensionUniqueName="[Range 1]" displayFolder="" count="0" memberValueDatatype="20" unbalanced="0"/>
    <cacheHierarchy uniqueName="[Range 1].[Dietary Fiber (% Daily Value)]" caption="Dietary Fiber (% Daily Value)" attribute="1" defaultMemberUniqueName="[Range 1].[Dietary Fiber (% Daily Value)].[All]" allUniqueName="[Range 1].[Dietary Fiber (% Daily Value)].[All]" dimensionUniqueName="[Range 1]" displayFolder="" count="0" memberValueDatatype="20" unbalanced="0"/>
    <cacheHierarchy uniqueName="[Range 1].[Sugars]" caption="Sugars" attribute="1" defaultMemberUniqueName="[Range 1].[Sugars].[All]" allUniqueName="[Range 1].[Sugars].[All]" dimensionUniqueName="[Range 1]" displayFolder="" count="0" memberValueDatatype="20" unbalanced="0"/>
    <cacheHierarchy uniqueName="[Range 1].[Protein]" caption="Protein" attribute="1" defaultMemberUniqueName="[Range 1].[Protein].[All]" allUniqueName="[Range 1].[Protein].[All]" dimensionUniqueName="[Range 1]" displayFolder="" count="2" memberValueDatatype="20" unbalanced="0">
      <fieldsUsage count="2">
        <fieldUsage x="-1"/>
        <fieldUsage x="0"/>
      </fieldsUsage>
    </cacheHierarchy>
    <cacheHierarchy uniqueName="[Range 1].[Vitamin A (% Daily Value)]" caption="Vitamin A (% Daily Value)" attribute="1" defaultMemberUniqueName="[Range 1].[Vitamin A (% Daily Value)].[All]" allUniqueName="[Range 1].[Vitamin A (% Daily Value)].[All]" dimensionUniqueName="[Range 1]" displayFolder="" count="0" memberValueDatatype="20" unbalanced="0"/>
    <cacheHierarchy uniqueName="[Range 1].[Vitamin C (% Daily Value)]" caption="Vitamin C (% Daily Value)" attribute="1" defaultMemberUniqueName="[Range 1].[Vitamin C (% Daily Value)].[All]" allUniqueName="[Range 1].[Vitamin C (% Daily Value)].[All]" dimensionUniqueName="[Range 1]" displayFolder="" count="0" memberValueDatatype="20" unbalanced="0"/>
    <cacheHierarchy uniqueName="[Range 1].[Calcium (% Daily Value)]" caption="Calcium (% Daily Value)" attribute="1" defaultMemberUniqueName="[Range 1].[Calcium (% Daily Value)].[All]" allUniqueName="[Range 1].[Calcium (% Daily Value)].[All]" dimensionUniqueName="[Range 1]" displayFolder="" count="0" memberValueDatatype="20" unbalanced="0"/>
    <cacheHierarchy uniqueName="[Range 1].[Iron (% Daily Value)]" caption="Iron (% Daily Value)" attribute="1" defaultMemberUniqueName="[Range 1].[Iron (% Daily Value)].[All]" allUniqueName="[Range 1].[Iron (% Daily Value)].[All]" dimensionUniqueName="[Range 1]" displayFolder="" count="0" memberValueDatatype="20" unbalanced="0"/>
    <cacheHierarchy uniqueName="[Range 1].[HighNutrients]" caption="HighNutrients" attribute="1" defaultMemberUniqueName="[Range 1].[HighNutrients].[All]" allUniqueName="[Range 1].[HighNutrients].[All]" dimensionUniqueName="[Range 1]" displayFolder="" count="0" memberValueDatatype="13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alories]" caption="Sum of Calories" measure="1" displayFolder="" measureGroup="Range" count="0" hidden="1">
      <extLst>
        <ext xmlns:x15="http://schemas.microsoft.com/office/spreadsheetml/2010/11/main" uri="{B97F6D7D-B522-45F9-BDA1-12C45D357490}">
          <x15:cacheHierarchy aggregatedColumn="3"/>
        </ext>
      </extLst>
    </cacheHierarchy>
    <cacheHierarchy uniqueName="[Measures].[Sum of Cholesterol (% Daily Value)]" caption="Sum of Cholesterol (% Daily Value)" measure="1" displayFolder="" measureGroup="Range" count="0" hidden="1">
      <extLst>
        <ext xmlns:x15="http://schemas.microsoft.com/office/spreadsheetml/2010/11/main" uri="{B97F6D7D-B522-45F9-BDA1-12C45D357490}">
          <x15:cacheHierarchy aggregatedColumn="11"/>
        </ext>
      </extLst>
    </cacheHierarchy>
    <cacheHierarchy uniqueName="[Measures].[Average of Cholesterol (% Daily Value)]" caption="Average of Cholesterol (% Daily Value)" measure="1" displayFolder="" measureGroup="Range" count="0" hidden="1">
      <extLst>
        <ext xmlns:x15="http://schemas.microsoft.com/office/spreadsheetml/2010/11/main" uri="{B97F6D7D-B522-45F9-BDA1-12C45D357490}">
          <x15:cacheHierarchy aggregatedColumn="11"/>
        </ext>
      </extLst>
    </cacheHierarchy>
    <cacheHierarchy uniqueName="[Measures].[Sum of Total Fat (% Daily Value)]" caption="Sum of Total Fat (% Daily Value)" measure="1" displayFolder="" measureGroup="Range" count="0" hidden="1">
      <extLst>
        <ext xmlns:x15="http://schemas.microsoft.com/office/spreadsheetml/2010/11/main" uri="{B97F6D7D-B522-45F9-BDA1-12C45D357490}">
          <x15:cacheHierarchy aggregatedColumn="6"/>
        </ext>
      </extLst>
    </cacheHierarchy>
    <cacheHierarchy uniqueName="[Measures].[Average of Total Fat (% Daily Value)]" caption="Average of Total Fat (% Daily Value)" measure="1" displayFolder="" measureGroup="Range" count="0" hidden="1">
      <extLst>
        <ext xmlns:x15="http://schemas.microsoft.com/office/spreadsheetml/2010/11/main" uri="{B97F6D7D-B522-45F9-BDA1-12C45D357490}">
          <x15:cacheHierarchy aggregatedColumn="6"/>
        </ext>
      </extLst>
    </cacheHierarchy>
    <cacheHierarchy uniqueName="[Measures].[Sum of Saturated Fat (% Daily Value)]" caption="Sum of Saturated Fat (% Daily Value)" measure="1" displayFolder="" measureGroup="Range" count="0" hidden="1">
      <extLst>
        <ext xmlns:x15="http://schemas.microsoft.com/office/spreadsheetml/2010/11/main" uri="{B97F6D7D-B522-45F9-BDA1-12C45D357490}">
          <x15:cacheHierarchy aggregatedColumn="8"/>
        </ext>
      </extLst>
    </cacheHierarchy>
    <cacheHierarchy uniqueName="[Measures].[Sum of Sodium (% Daily Value)]" caption="Sum of Sodium (% Daily Value)" measure="1" displayFolder="" measureGroup="Range" count="0" hidden="1">
      <extLst>
        <ext xmlns:x15="http://schemas.microsoft.com/office/spreadsheetml/2010/11/main" uri="{B97F6D7D-B522-45F9-BDA1-12C45D357490}">
          <x15:cacheHierarchy aggregatedColumn="13"/>
        </ext>
      </extLst>
    </cacheHierarchy>
    <cacheHierarchy uniqueName="[Measures].[Sum of Carbohydrates (% Daily Value)]" caption="Sum of Carbohydrates (% Daily Value)" measure="1" displayFolder="" measureGroup="Range" count="0" hidden="1">
      <extLst>
        <ext xmlns:x15="http://schemas.microsoft.com/office/spreadsheetml/2010/11/main" uri="{B97F6D7D-B522-45F9-BDA1-12C45D357490}">
          <x15:cacheHierarchy aggregatedColumn="15"/>
        </ext>
      </extLst>
    </cacheHierarchy>
    <cacheHierarchy uniqueName="[Measures].[Sum of Dietary Fiber (% Daily Value)]" caption="Sum of Dietary Fiber (% Daily Value)" measure="1" displayFolder="" measureGroup="Range" count="0" hidden="1">
      <extLst>
        <ext xmlns:x15="http://schemas.microsoft.com/office/spreadsheetml/2010/11/main" uri="{B97F6D7D-B522-45F9-BDA1-12C45D357490}">
          <x15:cacheHierarchy aggregatedColumn="17"/>
        </ext>
      </extLst>
    </cacheHierarchy>
    <cacheHierarchy uniqueName="[Measures].[Sum of Vitamin A (% Daily Value)]" caption="Sum of Vitamin A (% Daily Value)" measure="1" displayFolder="" measureGroup="Range" count="0" hidden="1">
      <extLst>
        <ext xmlns:x15="http://schemas.microsoft.com/office/spreadsheetml/2010/11/main" uri="{B97F6D7D-B522-45F9-BDA1-12C45D357490}">
          <x15:cacheHierarchy aggregatedColumn="20"/>
        </ext>
      </extLst>
    </cacheHierarchy>
    <cacheHierarchy uniqueName="[Measures].[Sum of Vitamin C (% Daily Value)]" caption="Sum of Vitamin C (% Daily Value)" measure="1" displayFolder="" measureGroup="Range" count="0" hidden="1">
      <extLst>
        <ext xmlns:x15="http://schemas.microsoft.com/office/spreadsheetml/2010/11/main" uri="{B97F6D7D-B522-45F9-BDA1-12C45D357490}">
          <x15:cacheHierarchy aggregatedColumn="21"/>
        </ext>
      </extLst>
    </cacheHierarchy>
    <cacheHierarchy uniqueName="[Measures].[Sum of Calcium (% Daily Value)]" caption="Sum of Calcium (% Daily Value)" measure="1" displayFolder="" measureGroup="Range" count="0" hidden="1">
      <extLst>
        <ext xmlns:x15="http://schemas.microsoft.com/office/spreadsheetml/2010/11/main" uri="{B97F6D7D-B522-45F9-BDA1-12C45D357490}">
          <x15:cacheHierarchy aggregatedColumn="22"/>
        </ext>
      </extLst>
    </cacheHierarchy>
    <cacheHierarchy uniqueName="[Measures].[Sum of Iron (% Daily Value)]" caption="Sum of Iron (% Daily Value)" measure="1" displayFolder="" measureGroup="Range" count="0" hidden="1">
      <extLst>
        <ext xmlns:x15="http://schemas.microsoft.com/office/spreadsheetml/2010/11/main" uri="{B97F6D7D-B522-45F9-BDA1-12C45D357490}">
          <x15:cacheHierarchy aggregatedColumn="23"/>
        </ext>
      </extLst>
    </cacheHierarchy>
    <cacheHierarchy uniqueName="[Measures].[Sum of Sugars]" caption="Sum of Sugars" measure="1" displayFolder="" measureGroup="Range" count="0" hidden="1">
      <extLst>
        <ext xmlns:x15="http://schemas.microsoft.com/office/spreadsheetml/2010/11/main" uri="{B97F6D7D-B522-45F9-BDA1-12C45D357490}">
          <x15:cacheHierarchy aggregatedColumn="18"/>
        </ext>
      </extLst>
    </cacheHierarchy>
    <cacheHierarchy uniqueName="[Measures].[Sum of Protein]" caption="Sum of Protein" measure="1" displayFolder="" measureGroup="Range" count="0" hidden="1">
      <extLst>
        <ext xmlns:x15="http://schemas.microsoft.com/office/spreadsheetml/2010/11/main" uri="{B97F6D7D-B522-45F9-BDA1-12C45D357490}">
          <x15:cacheHierarchy aggregatedColumn="19"/>
        </ext>
      </extLst>
    </cacheHierarchy>
    <cacheHierarchy uniqueName="[Measures].[Sum of Calories from Fat]" caption="Sum of Calories from Fat" measure="1" displayFolder="" measureGroup="Range" count="0" hidden="1">
      <extLst>
        <ext xmlns:x15="http://schemas.microsoft.com/office/spreadsheetml/2010/11/main" uri="{B97F6D7D-B522-45F9-BDA1-12C45D357490}">
          <x15:cacheHierarchy aggregatedColumn="4"/>
        </ext>
      </extLst>
    </cacheHierarchy>
    <cacheHierarchy uniqueName="[Measures].[Sum of Vitamin A (% Daily Value) 2]" caption="Sum of Vitamin A (% Daily Value) 2" measure="1" displayFolder="" measureGroup="Range 1" count="0" hidden="1">
      <extLst>
        <ext xmlns:x15="http://schemas.microsoft.com/office/spreadsheetml/2010/11/main" uri="{B97F6D7D-B522-45F9-BDA1-12C45D357490}">
          <x15:cacheHierarchy aggregatedColumn="45"/>
        </ext>
      </extLst>
    </cacheHierarchy>
    <cacheHierarchy uniqueName="[Measures].[Sum of Calories 2]" caption="Sum of Calories 2" measure="1" displayFolder="" measureGroup="Range 1" count="0" hidden="1">
      <extLst>
        <ext xmlns:x15="http://schemas.microsoft.com/office/spreadsheetml/2010/11/main" uri="{B97F6D7D-B522-45F9-BDA1-12C45D357490}">
          <x15:cacheHierarchy aggregatedColumn="27"/>
        </ext>
      </extLst>
    </cacheHierarchy>
    <cacheHierarchy uniqueName="[Measures].[Sum of Sugars 2]" caption="Sum of Sugars 2" measure="1" displayFolder="" measureGroup="Range 1" count="0" hidden="1">
      <extLst>
        <ext xmlns:x15="http://schemas.microsoft.com/office/spreadsheetml/2010/11/main" uri="{B97F6D7D-B522-45F9-BDA1-12C45D357490}">
          <x15:cacheHierarchy aggregatedColumn="43"/>
        </ext>
      </extLst>
    </cacheHierarchy>
    <cacheHierarchy uniqueName="[Measures].[Sum of Sodium]" caption="Sum of Sodium" measure="1" displayFolder="" measureGroup="Range 1" count="0" hidden="1">
      <extLst>
        <ext xmlns:x15="http://schemas.microsoft.com/office/spreadsheetml/2010/11/main" uri="{B97F6D7D-B522-45F9-BDA1-12C45D357490}">
          <x15:cacheHierarchy aggregatedColumn="37"/>
        </ext>
      </extLst>
    </cacheHierarchy>
    <cacheHierarchy uniqueName="[Measures].[Sum of Saturated Fat (% Daily Value) 2]" caption="Sum of Saturated Fat (% Daily Value) 2" measure="1" displayFolder="" measureGroup="Range 1" count="0" hidden="1">
      <extLst>
        <ext xmlns:x15="http://schemas.microsoft.com/office/spreadsheetml/2010/11/main" uri="{B97F6D7D-B522-45F9-BDA1-12C45D357490}">
          <x15:cacheHierarchy aggregatedColumn="33"/>
        </ext>
      </extLst>
    </cacheHierarchy>
    <cacheHierarchy uniqueName="[Measures].[Sum of FatCaloriesPercent]" caption="Sum of FatCaloriesPercent" measure="1" displayFolder="" measureGroup="Range 1" count="0" hidden="1">
      <extLst>
        <ext xmlns:x15="http://schemas.microsoft.com/office/spreadsheetml/2010/11/main" uri="{B97F6D7D-B522-45F9-BDA1-12C45D357490}">
          <x15:cacheHierarchy aggregatedColumn="29"/>
        </ext>
      </extLst>
    </cacheHierarchy>
    <cacheHierarchy uniqueName="[Measures].[Sum of Calories from Fat 2]" caption="Sum of Calories from Fat 2" measure="1" displayFolder="" measureGroup="Range 1" count="0" hidden="1">
      <extLst>
        <ext xmlns:x15="http://schemas.microsoft.com/office/spreadsheetml/2010/11/main" uri="{B97F6D7D-B522-45F9-BDA1-12C45D357490}">
          <x15:cacheHierarchy aggregatedColumn="28"/>
        </ext>
      </extLst>
    </cacheHierarchy>
    <cacheHierarchy uniqueName="[Measures].[Sum of Total Fat (% Daily Value) 2]" caption="Sum of Total Fat (% Daily Value) 2" measure="1" displayFolder="" measureGroup="Range 1" count="0" hidden="1">
      <extLst>
        <ext xmlns:x15="http://schemas.microsoft.com/office/spreadsheetml/2010/11/main" uri="{B97F6D7D-B522-45F9-BDA1-12C45D357490}">
          <x15:cacheHierarchy aggregatedColumn="31"/>
        </ext>
      </extLst>
    </cacheHierarchy>
    <cacheHierarchy uniqueName="[Measures].[Sum of Total Fat]" caption="Sum of Total Fat" measure="1" displayFolder="" measureGroup="Range 1" count="0" hidden="1">
      <extLst>
        <ext xmlns:x15="http://schemas.microsoft.com/office/spreadsheetml/2010/11/main" uri="{B97F6D7D-B522-45F9-BDA1-12C45D357490}">
          <x15:cacheHierarchy aggregatedColumn="30"/>
        </ext>
      </extLst>
    </cacheHierarchy>
    <cacheHierarchy uniqueName="[Measures].[Sum of Saturated Fat]" caption="Sum of Saturated Fat" measure="1" displayFolder="" measureGroup="Range 1" count="0" hidden="1">
      <extLst>
        <ext xmlns:x15="http://schemas.microsoft.com/office/spreadsheetml/2010/11/main" uri="{B97F6D7D-B522-45F9-BDA1-12C45D357490}">
          <x15:cacheHierarchy aggregatedColumn="32"/>
        </ext>
      </extLst>
    </cacheHierarchy>
    <cacheHierarchy uniqueName="[Measures].[Sum of Protein 2]" caption="Sum of Protein 2" measure="1" displayFolder="" measureGroup="Range 1" count="0" hidden="1">
      <extLst>
        <ext xmlns:x15="http://schemas.microsoft.com/office/spreadsheetml/2010/11/main" uri="{B97F6D7D-B522-45F9-BDA1-12C45D357490}">
          <x15:cacheHierarchy aggregatedColumn="44"/>
        </ext>
      </extLst>
    </cacheHierarchy>
    <cacheHierarchy uniqueName="[Measures].[Sum of Cholesterol]" caption="Sum of Cholesterol" measure="1" displayFolder="" measureGroup="Range 1" count="0" hidden="1">
      <extLst>
        <ext xmlns:x15="http://schemas.microsoft.com/office/spreadsheetml/2010/11/main" uri="{B97F6D7D-B522-45F9-BDA1-12C45D357490}">
          <x15:cacheHierarchy aggregatedColumn="35"/>
        </ext>
      </extLst>
    </cacheHierarchy>
    <cacheHierarchy uniqueName="[Measures].[Count of HighNutrients]" caption="Count of HighNutrients" measure="1" displayFolder="" measureGroup="Range 1" count="0" hidden="1">
      <extLst>
        <ext xmlns:x15="http://schemas.microsoft.com/office/spreadsheetml/2010/11/main" uri="{B97F6D7D-B522-45F9-BDA1-12C45D357490}">
          <x15:cacheHierarchy aggregatedColumn="49"/>
        </ext>
      </extLst>
    </cacheHierarchy>
    <cacheHierarchy uniqueName="[Measures].[Sum of Carbohydrates]" caption="Sum of Carbohydrates" measure="1" displayFolder="" measureGroup="Range 1" count="0" oneField="1" hidden="1">
      <fieldsUsage count="1">
        <fieldUsage x="5"/>
      </fieldsUsage>
      <extLst>
        <ext xmlns:x15="http://schemas.microsoft.com/office/spreadsheetml/2010/11/main" uri="{B97F6D7D-B522-45F9-BDA1-12C45D357490}">
          <x15:cacheHierarchy aggregatedColumn="39"/>
        </ext>
      </extLst>
    </cacheHierarchy>
    <cacheHierarchy uniqueName="[Measures].[Sum of Carbohydrates (% Daily Value) 2]" caption="Sum of Carbohydrates (% Daily Value) 2" measure="1" displayFolder="" measureGroup="Range 1" count="0" hidden="1">
      <extLst>
        <ext xmlns:x15="http://schemas.microsoft.com/office/spreadsheetml/2010/11/main" uri="{B97F6D7D-B522-45F9-BDA1-12C45D357490}">
          <x15:cacheHierarchy aggregatedColumn="40"/>
        </ext>
      </extLst>
    </cacheHierarchy>
    <cacheHierarchy uniqueName="[Measures].[Count of Category]" caption="Count of Category" measure="1" displayFolder="" measureGroup="Range"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yabini Venkatesan" refreshedDate="45106.540692939816" backgroundQuery="1" createdVersion="8" refreshedVersion="8" minRefreshableVersion="3" recordCount="0" supportSubquery="1" supportAdvancedDrill="1" xr:uid="{C87AA976-C170-4D66-A789-2F33C21630FF}">
  <cacheSource type="external" connectionId="1"/>
  <cacheFields count="7">
    <cacheField name="[Range 1].[Protein].[Protein]" caption="Protein" numFmtId="0" hierarchy="44" level="1">
      <sharedItems containsSemiMixedTypes="0" containsNonDate="0" containsString="0"/>
    </cacheField>
    <cacheField name="[Range 1].[Cholesterol].[Cholesterol]" caption="Cholesterol" numFmtId="0" hierarchy="35" level="1">
      <sharedItems containsSemiMixedTypes="0" containsNonDate="0" containsString="0"/>
    </cacheField>
    <cacheField name="[Range 1].[Sodium].[Sodium]" caption="Sodium" numFmtId="0" hierarchy="37" level="1">
      <sharedItems containsSemiMixedTypes="0" containsNonDate="0" containsString="0"/>
    </cacheField>
    <cacheField name="[Range 1].[Calories from Fat].[Calories from Fat]" caption="Calories from Fat" numFmtId="0" hierarchy="28" level="1">
      <sharedItems containsSemiMixedTypes="0" containsNonDate="0" containsString="0"/>
    </cacheField>
    <cacheField name="[Measures].[Sum of Calories 2]" caption="Sum of Calories 2" numFmtId="0" hierarchy="70" level="32767"/>
    <cacheField name="[Measures].[Sum of Calories from Fat 2]" caption="Sum of Calories from Fat 2" numFmtId="0" hierarchy="75" level="32767"/>
    <cacheField name="[Range 1].[Item].[Item]" caption="Item" numFmtId="0" hierarchy="25" level="1">
      <sharedItems count="260">
        <s v="1% Low Fat Milk Jug"/>
        <s v="Apple Slices"/>
        <s v="Bacon Buffalo Ranch McChicken"/>
        <s v="Bacon Cheddar McChicken"/>
        <s v="Bacon Clubhouse Burger"/>
        <s v="Bacon Clubhouse Crispy Chicken Sandwich"/>
        <s v="Bacon Clubhouse Grilled Chicken Sandwich"/>
        <s v="Bacon McDouble"/>
        <s v="Bacon, Egg &amp; Cheese Bagel"/>
        <s v="Bacon, Egg &amp; Cheese Bagel with Egg Whites"/>
        <s v="Bacon, Egg &amp; Cheese Biscuit (Large Biscuit)"/>
        <s v="Bacon, Egg &amp; Cheese Biscuit (Regular Biscuit)"/>
        <s v="Bacon, Egg &amp; Cheese Biscuit with Egg Whites (Large Biscuit)"/>
        <s v="Bacon, Egg &amp; Cheese Biscuit with Egg Whites (Regular Biscuit)"/>
        <s v="Bacon, Egg &amp; Cheese McGriddles"/>
        <s v="Bacon, Egg &amp; Cheese McGriddles with Egg Whites"/>
        <s v="Baked Apple Pie"/>
        <s v="Big Breakfast (Large Biscuit)"/>
        <s v="Big Breakfast (Regular Biscuit)"/>
        <s v="Big Breakfast with Egg Whites (Large Biscuit)"/>
        <s v="Big Breakfast with Egg Whites (Regular Biscuit)"/>
        <s v="Big Breakfast with Hotcakes (Large Biscuit)"/>
        <s v="Big Breakfast with Hotcakes (Regular Biscuit)"/>
        <s v="Big Breakfast with Hotcakes and Egg Whites (Large Biscuit)"/>
        <s v="Big Breakfast with Hotcakes and Egg Whites (Regular Biscuit)"/>
        <s v="Big Mac"/>
        <s v="Blueberry Pomegranate Smoothie (Large)"/>
        <s v="Blueberry Pomegranate Smoothie (Medium)"/>
        <s v="Blueberry Pomegranate Smoothie (Small)"/>
        <s v="Buffalo Ranch McChicken"/>
        <s v="Caramel Iced Coffee (Large)"/>
        <s v="Caramel Iced Coffee (Medium)"/>
        <s v="Caramel Iced Coffee (Small)"/>
        <s v="Caramel Latte (Large)"/>
        <s v="Caramel Latte (Medium)"/>
        <s v="Caramel Latte (Small)"/>
        <s v="Caramel Mocha (Large)"/>
        <s v="Caramel Mocha (Medium)"/>
        <s v="Caramel Mocha (Small)"/>
        <s v="Cheeseburger"/>
        <s v="Chicken McNuggets (10 piece)"/>
        <s v="Chicken McNuggets (20 piece)"/>
        <s v="Chicken McNuggets (4 piece)"/>
        <s v="Chicken McNuggets (40 piece)"/>
        <s v="Chicken McNuggets (6 piece)"/>
        <s v="Chipotle BBQ Snack Wrap (Crispy Chicken)"/>
        <s v="Chipotle BBQ Snack Wrap (Grilled Chicken)"/>
        <s v="Chocolate Chip Cookie"/>
        <s v="Chocolate Shake (Large)"/>
        <s v="Chocolate Shake (Medium)"/>
        <s v="Chocolate Shake (Small)"/>
        <s v="Cinnamon Melts"/>
        <s v="Coca-Cola Classic (Child)"/>
        <s v="Coca-Cola Classic (Large)"/>
        <s v="Coca-Cola Classic (Medium)"/>
        <s v="Coca-Cola Classic (Small)"/>
        <s v="Coffee (Large)"/>
        <s v="Coffee (Medium)"/>
        <s v="Coffee (Small)"/>
        <s v="Daily Double"/>
        <s v="Dasani Water Bottle"/>
        <s v="Diet Coke (Child)"/>
        <s v="Diet Coke (Large)"/>
        <s v="Diet Coke (Medium)"/>
        <s v="Diet Coke (Small)"/>
        <s v="Diet Dr Pepper (Child)"/>
        <s v="Diet Dr Pepper (Large)"/>
        <s v="Diet Dr Pepper (Medium)"/>
        <s v="Diet Dr Pepper (Small)"/>
        <s v="Double Cheeseburger"/>
        <s v="Double Quarter Pounder with Cheese"/>
        <s v="Dr Pepper (Child)"/>
        <s v="Dr Pepper (Large)"/>
        <s v="Dr Pepper (Medium)"/>
        <s v="Dr Pepper (Small)"/>
        <s v="Egg McMuffin"/>
        <s v="Egg White Delight"/>
        <s v="Fat Free Chocolate Milk Jug"/>
        <s v="Filet-O-Fish"/>
        <s v="FrappÃ© Caramel (Large)"/>
        <s v="FrappÃ© Caramel (Medium)"/>
        <s v="FrappÃ© Caramel (Small)"/>
        <s v="FrappÃ© Chocolate Chip (Large)"/>
        <s v="FrappÃ© Chocolate Chip (Medium)"/>
        <s v="FrappÃ© Chocolate Chip (Small)"/>
        <s v="FrappÃ© Mocha (Large)"/>
        <s v="FrappÃ© Mocha (Medium)"/>
        <s v="FrappÃ© Mocha (Small)"/>
        <s v="French Vanilla Iced Coffee (Large)"/>
        <s v="French Vanilla Iced Coffee (Medium)"/>
        <s v="French Vanilla Iced Coffee (Small)"/>
        <s v="French Vanilla Latte (Large)"/>
        <s v="French Vanilla Latte (Medium)"/>
        <s v="French Vanilla Latte (Small)"/>
        <s v="Fruit &amp; Maple Oatmeal"/>
        <s v="Fruit &amp; Maple Oatmeal without Brown Sugar"/>
        <s v="Fruit 'n Yogurt Parfait"/>
        <s v="Hamburger"/>
        <s v="Hash Brown"/>
        <s v="Hazelnut Iced Coffee (Large)"/>
        <s v="Hazelnut Iced Coffee (Medium)"/>
        <s v="Hazelnut Iced Coffee (Small)"/>
        <s v="Hazelnut Latte (Large)"/>
        <s v="Hazelnut Latte (Medium)"/>
        <s v="Hazelnut Latte (Small)"/>
        <s v="Honey Mustard Snack Wrap (Crispy Chicken)"/>
        <s v="Honey Mustard Snack Wrap (Grilled Chicken)"/>
        <s v="Hot Caramel Sundae"/>
        <s v="Hot Chocolate (Large)"/>
        <s v="Hot Chocolate (Medium)"/>
        <s v="Hot Chocolate (Small)"/>
        <s v="Hot Chocolate with Nonfat Milk (Large)"/>
        <s v="Hot Chocolate with Nonfat Milk (Medium)"/>
        <s v="Hot Chocolate with Nonfat Milk (Small)"/>
        <s v="Hot Fudge Sundae"/>
        <s v="Hotcakes"/>
        <s v="Hotcakes and Sausage"/>
        <s v="Iced Caramel Mocha (Large)"/>
        <s v="Iced Caramel Mocha (Medium)"/>
        <s v="Iced Caramel Mocha (Small)"/>
        <s v="Iced Coffee with Sugar Free French Vanilla Syrup (Large)"/>
        <s v="Iced Coffee with Sugar Free French Vanilla Syrup (Medium)"/>
        <s v="Iced Coffee with Sugar Free French Vanilla Syrup (Small)"/>
        <s v="Iced Mocha (Large)"/>
        <s v="Iced Mocha (Medium)"/>
        <s v="Iced Mocha (Small)"/>
        <s v="Iced Mocha with Nonfat Milk (Large)"/>
        <s v="Iced Mocha with Nonfat Milk (Medium)"/>
        <s v="Iced Mocha with Nonfat Milk (Small)"/>
        <s v="Iced Nonfat Caramel Mocha (Large)"/>
        <s v="Iced Nonfat Caramel Mocha (Medium)"/>
        <s v="Iced Nonfat Caramel Mocha (Small)"/>
        <s v="Iced Tea (Child)"/>
        <s v="Iced Tea (Large)"/>
        <s v="Iced Tea (Medium)"/>
        <s v="Iced Tea (Small)"/>
        <s v="JalapeÃ±o Double"/>
        <s v="Kids French Fries"/>
        <s v="Kids Ice Cream Cone"/>
        <s v="Large French Fries"/>
        <s v="Latte (Large)"/>
        <s v="Latte (Medium)"/>
        <s v="Latte (Small)"/>
        <s v="Latte with Sugar Free French Vanilla Syrup (Large)"/>
        <s v="Latte with Sugar Free French Vanilla Syrup (Medium)"/>
        <s v="Latte with Sugar Free French Vanilla Syrup (Small)"/>
        <s v="Mango Pineapple Smoothie (Large)"/>
        <s v="Mango Pineapple Smoothie (Medium)"/>
        <s v="Mango Pineapple Smoothie (Small)"/>
        <s v="McChicken"/>
        <s v="McDouble"/>
        <s v="McFlurry with M&amp;Mâ€™s Candies (Medium)"/>
        <s v="McFlurry with M&amp;Mâ€™s Candies (Small)"/>
        <s v="McFlurry with M&amp;Mâ€™s Candies (Snack)"/>
        <s v="McFlurry with Oreo Cookies (Medium)"/>
        <s v="McFlurry with Oreo Cookies (Small)"/>
        <s v="McFlurry with Oreo Cookies (Snack)"/>
        <s v="McFlurry with Reese's Peanut Butter Cups (Medium)"/>
        <s v="McFlurry with Reese's Peanut Butter Cups (Snack)"/>
        <s v="McRib"/>
        <s v="Medium French Fries"/>
        <s v="Minute Maid 100% Apple Juice Box"/>
        <s v="Minute Maid Orange Juice (Large)"/>
        <s v="Minute Maid Orange Juice (Medium)"/>
        <s v="Minute Maid Orange Juice (Small)"/>
        <s v="Mocha (Large)"/>
        <s v="Mocha (Medium)"/>
        <s v="Mocha (Small)"/>
        <s v="Mocha with Nonfat Milk (Large)"/>
        <s v="Mocha with Nonfat Milk (Medium)"/>
        <s v="Mocha with Nonfat Milk (Small)"/>
        <s v="Nonfat Caramel Latte (Large)"/>
        <s v="Nonfat Caramel Latte (Medium)"/>
        <s v="Nonfat Caramel Latte (Small)"/>
        <s v="Nonfat Caramel Mocha (Large)"/>
        <s v="Nonfat Caramel Mocha (Medium)"/>
        <s v="Nonfat Caramel Mocha (Small)"/>
        <s v="Nonfat French Vanilla Latte (Large)"/>
        <s v="Nonfat French Vanilla Latte (Medium)"/>
        <s v="Nonfat French Vanilla Latte (Small)"/>
        <s v="Nonfat Hazelnut Latte (Large)"/>
        <s v="Nonfat Hazelnut Latte (Medium)"/>
        <s v="Nonfat Hazelnut Latte (Small)"/>
        <s v="Nonfat Latte (Large)"/>
        <s v="Nonfat Latte (Medium)"/>
        <s v="Nonfat Latte (Small)"/>
        <s v="Nonfat Latte with Sugar Free French Vanilla Syrup (Large)"/>
        <s v="Nonfat Latte with Sugar Free French Vanilla Syrup (Medium)"/>
        <s v="Nonfat Latte with Sugar Free French Vanilla Syrup (Small)"/>
        <s v="Oatmeal Raisin Cookie"/>
        <s v="Premium Bacon Ranch Salad (without Chicken)"/>
        <s v="Premium Bacon Ranch Salad with Crispy Chicken"/>
        <s v="Premium Bacon Ranch Salad with Grilled Chicken"/>
        <s v="Premium Crispy Chicken Classic Sandwich"/>
        <s v="Premium Crispy Chicken Club Sandwich"/>
        <s v="Premium Crispy Chicken Ranch BLT Sandwich"/>
        <s v="Premium Grilled Chicken Classic Sandwich"/>
        <s v="Premium Grilled Chicken Club Sandwich"/>
        <s v="Premium Grilled Chicken Ranch BLT Sandwich"/>
        <s v="Premium McWrap Chicken &amp; Bacon (Crispy Chicken)"/>
        <s v="Premium McWrap Chicken &amp; Bacon (Grilled Chicken)"/>
        <s v="Premium McWrap Chicken &amp; Ranch (Crispy Chicken)"/>
        <s v="Premium McWrap Chicken &amp; Ranch (Grilled Chicken)"/>
        <s v="Premium McWrap Chicken Sweet Chili (Crispy Chicken)"/>
        <s v="Premium McWrap Chicken Sweet Chili (Grilled Chicken)"/>
        <s v="Premium McWrap Southwest Chicken (Crispy Chicken)"/>
        <s v="Premium McWrap Southwest Chicken (Grilled Chicken)"/>
        <s v="Premium Southwest Salad (without Chicken)"/>
        <s v="Premium Southwest Salad with Crispy Chicken"/>
        <s v="Premium Southwest Salad with Grilled Chicken"/>
        <s v="Quarter Pounder Deluxe"/>
        <s v="Quarter Pounder with Bacon &amp; Cheese"/>
        <s v="Quarter Pounder with Bacon Habanero Ranch"/>
        <s v="Quarter Pounder with Cheese"/>
        <s v="Ranch Snack Wrap (Crispy Chicken)"/>
        <s v="Ranch Snack Wrap (Grilled Chicken)"/>
        <s v="Regular Iced Coffee (Large)"/>
        <s v="Regular Iced Coffee (Medium)"/>
        <s v="Regular Iced Coffee (Small)"/>
        <s v="Sausage Biscuit (Large Biscuit)"/>
        <s v="Sausage Biscuit (Regular Biscuit)"/>
        <s v="Sausage Biscuit with Egg (Large Biscuit)"/>
        <s v="Sausage Biscuit with Egg (Regular Biscuit)"/>
        <s v="Sausage Biscuit with Egg Whites (Large Biscuit)"/>
        <s v="Sausage Biscuit with Egg Whites (Regular Biscuit)"/>
        <s v="Sausage Burrito"/>
        <s v="Sausage McGriddles"/>
        <s v="Sausage McMuffin"/>
        <s v="Sausage McMuffin with Egg"/>
        <s v="Sausage McMuffin with Egg Whites"/>
        <s v="Sausage, Egg &amp; Cheese McGriddles"/>
        <s v="Sausage, Egg &amp; Cheese McGriddles with Egg Whites"/>
        <s v="Shamrock Shake (Large)"/>
        <s v="Shamrock Shake (Medium)"/>
        <s v="Side Salad"/>
        <s v="Small French Fries"/>
        <s v="Southern Style Chicken Biscuit (Large Biscuit)"/>
        <s v="Southern Style Chicken Biscuit (Regular Biscuit)"/>
        <s v="Southern Style Crispy Chicken Sandwich"/>
        <s v="Sprite (Child)"/>
        <s v="Sprite (Large)"/>
        <s v="Sprite (Medium)"/>
        <s v="Sprite (Small)"/>
        <s v="Steak &amp; Egg Biscuit (Regular Biscuit)"/>
        <s v="Steak &amp; Egg McMuffin"/>
        <s v="Steak, Egg &amp; Cheese Bagel"/>
        <s v="Strawberry Banana Smoothie (Large)"/>
        <s v="Strawberry Banana Smoothie (Medium)"/>
        <s v="Strawberry Banana Smoothie (Small)"/>
        <s v="Strawberry Shake (Large)"/>
        <s v="Strawberry Shake (Medium)"/>
        <s v="Strawberry Shake (Small)"/>
        <s v="Strawberry Sundae"/>
        <s v="Sweet Tea (Child)"/>
        <s v="Sweet Tea (Large)"/>
        <s v="Sweet Tea (Medium)"/>
        <s v="Sweet Tea (Small)"/>
        <s v="Vanilla Shake (Large)"/>
        <s v="Vanilla Shake (Medium)"/>
        <s v="Vanilla Shake (Small)"/>
      </sharedItems>
    </cacheField>
  </cacheFields>
  <cacheHierarchies count="85">
    <cacheHierarchy uniqueName="[Range].[Category]" caption="Category" attribute="1" defaultMemberUniqueName="[Range].[Category].[All]" allUniqueName="[Range].[Category].[All]" dimensionUniqueName="[Range]" displayFolder="" count="0" memberValueDatatype="130" unbalanced="0"/>
    <cacheHierarchy uniqueName="[Range].[Item]" caption="Item" attribute="1" defaultMemberUniqueName="[Range].[Item].[All]" allUniqueName="[Range].[Item].[All]" dimensionUniqueName="[Range]" displayFolder="" count="0" memberValueDatatype="130" unbalanced="0"/>
    <cacheHierarchy uniqueName="[Range].[Serving Size]" caption="Serving Size" attribute="1" defaultMemberUniqueName="[Range].[Serving Size].[All]" allUniqueName="[Range].[Serving Size].[All]" dimensionUniqueName="[Range]" displayFolder="" count="0" memberValueDatatype="130" unbalanced="0"/>
    <cacheHierarchy uniqueName="[Range].[Calories]" caption="Calories" attribute="1" defaultMemberUniqueName="[Range].[Calories].[All]" allUniqueName="[Range].[Calories].[All]" dimensionUniqueName="[Range]" displayFolder="" count="0" memberValueDatatype="20" unbalanced="0"/>
    <cacheHierarchy uniqueName="[Range].[Calories from Fat]" caption="Calories from Fat" attribute="1" defaultMemberUniqueName="[Range].[Calories from Fat].[All]" allUniqueName="[Range].[Calories from Fat].[All]" dimensionUniqueName="[Range]" displayFolder="" count="0" memberValueDatatype="20" unbalanced="0"/>
    <cacheHierarchy uniqueName="[Range].[Total Fat]" caption="Total Fat" attribute="1" defaultMemberUniqueName="[Range].[Total Fat].[All]" allUniqueName="[Range].[Total Fat].[All]" dimensionUniqueName="[Range]" displayFolder="" count="0" memberValueDatatype="5" unbalanced="0"/>
    <cacheHierarchy uniqueName="[Range].[Total Fat (% Daily Value)]" caption="Total Fat (% Daily Value)" attribute="1" defaultMemberUniqueName="[Range].[Total Fat (% Daily Value)].[All]" allUniqueName="[Range].[Total Fat (% Daily Value)].[All]" dimensionUniqueName="[Range]" displayFolder="" count="0" memberValueDatatype="20" unbalanced="0"/>
    <cacheHierarchy uniqueName="[Range].[Saturated Fat]" caption="Saturated Fat" attribute="1" defaultMemberUniqueName="[Range].[Saturated Fat].[All]" allUniqueName="[Range].[Saturated Fat].[All]" dimensionUniqueName="[Range]" displayFolder="" count="0" memberValueDatatype="5" unbalanced="0"/>
    <cacheHierarchy uniqueName="[Range].[Saturated Fat (% Daily Value)]" caption="Saturated Fat (% Daily Value)" attribute="1" defaultMemberUniqueName="[Range].[Saturated Fat (% Daily Value)].[All]" allUniqueName="[Range].[Saturated Fat (% Daily Value)].[All]" dimensionUniqueName="[Range]" displayFolder="" count="0" memberValueDatatype="20" unbalanced="0"/>
    <cacheHierarchy uniqueName="[Range].[Trans Fat]" caption="Trans Fat" attribute="1" defaultMemberUniqueName="[Range].[Trans Fat].[All]" allUniqueName="[Range].[Trans Fat].[All]" dimensionUniqueName="[Range]" displayFolder="" count="0" memberValueDatatype="5" unbalanced="0"/>
    <cacheHierarchy uniqueName="[Range].[Cholesterol]" caption="Cholesterol" attribute="1" defaultMemberUniqueName="[Range].[Cholesterol].[All]" allUniqueName="[Range].[Cholesterol].[All]" dimensionUniqueName="[Range]" displayFolder="" count="0" memberValueDatatype="20" unbalanced="0"/>
    <cacheHierarchy uniqueName="[Range].[Cholesterol (% Daily Value)]" caption="Cholesterol (% Daily Value)" attribute="1" defaultMemberUniqueName="[Range].[Cholesterol (% Daily Value)].[All]" allUniqueName="[Range].[Cholesterol (% Daily Value)].[All]" dimensionUniqueName="[Range]" displayFolder="" count="0" memberValueDatatype="20" unbalanced="0"/>
    <cacheHierarchy uniqueName="[Range].[Sodium]" caption="Sodium" attribute="1" defaultMemberUniqueName="[Range].[Sodium].[All]" allUniqueName="[Range].[Sodium].[All]" dimensionUniqueName="[Range]" displayFolder="" count="0" memberValueDatatype="20" unbalanced="0"/>
    <cacheHierarchy uniqueName="[Range].[Sodium (% Daily Value)]" caption="Sodium (% Daily Value)" attribute="1" defaultMemberUniqueName="[Range].[Sodium (% Daily Value)].[All]" allUniqueName="[Range].[Sodium (% Daily Value)].[All]" dimensionUniqueName="[Range]" displayFolder="" count="0" memberValueDatatype="20" unbalanced="0"/>
    <cacheHierarchy uniqueName="[Range].[Carbohydrates]" caption="Carbohydrates" attribute="1" defaultMemberUniqueName="[Range].[Carbohydrates].[All]" allUniqueName="[Range].[Carbohydrates].[All]" dimensionUniqueName="[Range]" displayFolder="" count="0" memberValueDatatype="20" unbalanced="0"/>
    <cacheHierarchy uniqueName="[Range].[Carbohydrates (% Daily Value)]" caption="Carbohydrates (% Daily Value)" attribute="1" defaultMemberUniqueName="[Range].[Carbohydrates (% Daily Value)].[All]" allUniqueName="[Range].[Carbohydrates (% Daily Value)].[All]" dimensionUniqueName="[Range]" displayFolder="" count="0" memberValueDatatype="20" unbalanced="0"/>
    <cacheHierarchy uniqueName="[Range].[Dietary Fiber]" caption="Dietary Fiber" attribute="1" defaultMemberUniqueName="[Range].[Dietary Fiber].[All]" allUniqueName="[Range].[Dietary Fiber].[All]" dimensionUniqueName="[Range]" displayFolder="" count="0" memberValueDatatype="20" unbalanced="0"/>
    <cacheHierarchy uniqueName="[Range].[Dietary Fiber (% Daily Value)]" caption="Dietary Fiber (% Daily Value)" attribute="1" defaultMemberUniqueName="[Range].[Dietary Fiber (% Daily Value)].[All]" allUniqueName="[Range].[Dietary Fiber (% Daily Value)].[All]" dimensionUniqueName="[Range]" displayFolder="" count="0" memberValueDatatype="20" unbalanced="0"/>
    <cacheHierarchy uniqueName="[Range].[Sugars]" caption="Sugars" attribute="1" defaultMemberUniqueName="[Range].[Sugars].[All]" allUniqueName="[Range].[Sugars].[All]" dimensionUniqueName="[Range]" displayFolder="" count="0" memberValueDatatype="20" unbalanced="0"/>
    <cacheHierarchy uniqueName="[Range].[Protein]" caption="Protein" attribute="1" defaultMemberUniqueName="[Range].[Protein].[All]" allUniqueName="[Range].[Protein].[All]" dimensionUniqueName="[Range]" displayFolder="" count="0" memberValueDatatype="20" unbalanced="0"/>
    <cacheHierarchy uniqueName="[Range].[Vitamin A (% Daily Value)]" caption="Vitamin A (% Daily Value)" attribute="1" defaultMemberUniqueName="[Range].[Vitamin A (% Daily Value)].[All]" allUniqueName="[Range].[Vitamin A (% Daily Value)].[All]" dimensionUniqueName="[Range]" displayFolder="" count="0" memberValueDatatype="20" unbalanced="0"/>
    <cacheHierarchy uniqueName="[Range].[Vitamin C (% Daily Value)]" caption="Vitamin C (% Daily Value)" attribute="1" defaultMemberUniqueName="[Range].[Vitamin C (% Daily Value)].[All]" allUniqueName="[Range].[Vitamin C (% Daily Value)].[All]" dimensionUniqueName="[Range]" displayFolder="" count="0" memberValueDatatype="20" unbalanced="0"/>
    <cacheHierarchy uniqueName="[Range].[Calcium (% Daily Value)]" caption="Calcium (% Daily Value)" attribute="1" defaultMemberUniqueName="[Range].[Calcium (% Daily Value)].[All]" allUniqueName="[Range].[Calcium (% Daily Value)].[All]" dimensionUniqueName="[Range]" displayFolder="" count="0" memberValueDatatype="20" unbalanced="0"/>
    <cacheHierarchy uniqueName="[Range].[Iron (% Daily Value)]" caption="Iron (% Daily Value)" attribute="1" defaultMemberUniqueName="[Range].[Iron (% Daily Value)].[All]" allUniqueName="[Range].[Iron (% Daily Value)].[All]" dimensionUniqueName="[Range]" displayFolder="" count="0" memberValueDatatype="20" unbalanced="0"/>
    <cacheHierarchy uniqueName="[Range 1].[Category]" caption="Category" attribute="1" defaultMemberUniqueName="[Range 1].[Category].[All]" allUniqueName="[Range 1].[Category].[All]" dimensionUniqueName="[Range 1]" displayFolder="" count="0" memberValueDatatype="130" unbalanced="0"/>
    <cacheHierarchy uniqueName="[Range 1].[Item]" caption="Item" attribute="1" defaultMemberUniqueName="[Range 1].[Item].[All]" allUniqueName="[Range 1].[Item].[All]" dimensionUniqueName="[Range 1]" displayFolder="" count="2" memberValueDatatype="130" unbalanced="0">
      <fieldsUsage count="2">
        <fieldUsage x="-1"/>
        <fieldUsage x="6"/>
      </fieldsUsage>
    </cacheHierarchy>
    <cacheHierarchy uniqueName="[Range 1].[Serving Size]" caption="Serving Size" attribute="1" defaultMemberUniqueName="[Range 1].[Serving Size].[All]" allUniqueName="[Range 1].[Serving Size].[All]" dimensionUniqueName="[Range 1]" displayFolder="" count="0" memberValueDatatype="130" unbalanced="0"/>
    <cacheHierarchy uniqueName="[Range 1].[Calories]" caption="Calories" attribute="1" defaultMemberUniqueName="[Range 1].[Calories].[All]" allUniqueName="[Range 1].[Calories].[All]" dimensionUniqueName="[Range 1]" displayFolder="" count="0" memberValueDatatype="20" unbalanced="0"/>
    <cacheHierarchy uniqueName="[Range 1].[Calories from Fat]" caption="Calories from Fat" attribute="1" defaultMemberUniqueName="[Range 1].[Calories from Fat].[All]" allUniqueName="[Range 1].[Calories from Fat].[All]" dimensionUniqueName="[Range 1]" displayFolder="" count="2" memberValueDatatype="20" unbalanced="0">
      <fieldsUsage count="2">
        <fieldUsage x="-1"/>
        <fieldUsage x="3"/>
      </fieldsUsage>
    </cacheHierarchy>
    <cacheHierarchy uniqueName="[Range 1].[FatCaloriesPercent]" caption="FatCaloriesPercent" attribute="1" defaultMemberUniqueName="[Range 1].[FatCaloriesPercent].[All]" allUniqueName="[Range 1].[FatCaloriesPercent].[All]" dimensionUniqueName="[Range 1]" displayFolder="" count="0" memberValueDatatype="5" unbalanced="0"/>
    <cacheHierarchy uniqueName="[Range 1].[Total Fat]" caption="Total Fat" attribute="1" defaultMemberUniqueName="[Range 1].[Total Fat].[All]" allUniqueName="[Range 1].[Total Fat].[All]" dimensionUniqueName="[Range 1]" displayFolder="" count="0" memberValueDatatype="5" unbalanced="0"/>
    <cacheHierarchy uniqueName="[Range 1].[Total Fat (% Daily Value)]" caption="Total Fat (% Daily Value)" attribute="1" defaultMemberUniqueName="[Range 1].[Total Fat (% Daily Value)].[All]" allUniqueName="[Range 1].[Total Fat (% Daily Value)].[All]" dimensionUniqueName="[Range 1]" displayFolder="" count="0" memberValueDatatype="20" unbalanced="0"/>
    <cacheHierarchy uniqueName="[Range 1].[Saturated Fat]" caption="Saturated Fat" attribute="1" defaultMemberUniqueName="[Range 1].[Saturated Fat].[All]" allUniqueName="[Range 1].[Saturated Fat].[All]" dimensionUniqueName="[Range 1]" displayFolder="" count="0" memberValueDatatype="5" unbalanced="0"/>
    <cacheHierarchy uniqueName="[Range 1].[Saturated Fat (% Daily Value)]" caption="Saturated Fat (% Daily Value)" attribute="1" defaultMemberUniqueName="[Range 1].[Saturated Fat (% Daily Value)].[All]" allUniqueName="[Range 1].[Saturated Fat (% Daily Value)].[All]" dimensionUniqueName="[Range 1]" displayFolder="" count="0" memberValueDatatype="20" unbalanced="0"/>
    <cacheHierarchy uniqueName="[Range 1].[Trans Fat]" caption="Trans Fat" attribute="1" defaultMemberUniqueName="[Range 1].[Trans Fat].[All]" allUniqueName="[Range 1].[Trans Fat].[All]" dimensionUniqueName="[Range 1]" displayFolder="" count="0" memberValueDatatype="5" unbalanced="0"/>
    <cacheHierarchy uniqueName="[Range 1].[Cholesterol]" caption="Cholesterol" attribute="1" defaultMemberUniqueName="[Range 1].[Cholesterol].[All]" allUniqueName="[Range 1].[Cholesterol].[All]" dimensionUniqueName="[Range 1]" displayFolder="" count="2" memberValueDatatype="20" unbalanced="0">
      <fieldsUsage count="2">
        <fieldUsage x="-1"/>
        <fieldUsage x="1"/>
      </fieldsUsage>
    </cacheHierarchy>
    <cacheHierarchy uniqueName="[Range 1].[Cholesterol (% Daily Value)]" caption="Cholesterol (% Daily Value)" attribute="1" defaultMemberUniqueName="[Range 1].[Cholesterol (% Daily Value)].[All]" allUniqueName="[Range 1].[Cholesterol (% Daily Value)].[All]" dimensionUniqueName="[Range 1]" displayFolder="" count="0" memberValueDatatype="20" unbalanced="0"/>
    <cacheHierarchy uniqueName="[Range 1].[Sodium]" caption="Sodium" attribute="1" defaultMemberUniqueName="[Range 1].[Sodium].[All]" allUniqueName="[Range 1].[Sodium].[All]" dimensionUniqueName="[Range 1]" displayFolder="" count="2" memberValueDatatype="20" unbalanced="0">
      <fieldsUsage count="2">
        <fieldUsage x="-1"/>
        <fieldUsage x="2"/>
      </fieldsUsage>
    </cacheHierarchy>
    <cacheHierarchy uniqueName="[Range 1].[Sodium (% Daily Value)]" caption="Sodium (% Daily Value)" attribute="1" defaultMemberUniqueName="[Range 1].[Sodium (% Daily Value)].[All]" allUniqueName="[Range 1].[Sodium (% Daily Value)].[All]" dimensionUniqueName="[Range 1]" displayFolder="" count="0" memberValueDatatype="20" unbalanced="0"/>
    <cacheHierarchy uniqueName="[Range 1].[Carbohydrates]" caption="Carbohydrates" attribute="1" defaultMemberUniqueName="[Range 1].[Carbohydrates].[All]" allUniqueName="[Range 1].[Carbohydrates].[All]" dimensionUniqueName="[Range 1]" displayFolder="" count="0" memberValueDatatype="20" unbalanced="0"/>
    <cacheHierarchy uniqueName="[Range 1].[Carbohydrates (% Daily Value)]" caption="Carbohydrates (% Daily Value)" attribute="1" defaultMemberUniqueName="[Range 1].[Carbohydrates (% Daily Value)].[All]" allUniqueName="[Range 1].[Carbohydrates (% Daily Value)].[All]" dimensionUniqueName="[Range 1]" displayFolder="" count="0" memberValueDatatype="20" unbalanced="0"/>
    <cacheHierarchy uniqueName="[Range 1].[Dietary Fiber]" caption="Dietary Fiber" attribute="1" defaultMemberUniqueName="[Range 1].[Dietary Fiber].[All]" allUniqueName="[Range 1].[Dietary Fiber].[All]" dimensionUniqueName="[Range 1]" displayFolder="" count="0" memberValueDatatype="20" unbalanced="0"/>
    <cacheHierarchy uniqueName="[Range 1].[Dietary Fiber (% Daily Value)]" caption="Dietary Fiber (% Daily Value)" attribute="1" defaultMemberUniqueName="[Range 1].[Dietary Fiber (% Daily Value)].[All]" allUniqueName="[Range 1].[Dietary Fiber (% Daily Value)].[All]" dimensionUniqueName="[Range 1]" displayFolder="" count="0" memberValueDatatype="20" unbalanced="0"/>
    <cacheHierarchy uniqueName="[Range 1].[Sugars]" caption="Sugars" attribute="1" defaultMemberUniqueName="[Range 1].[Sugars].[All]" allUniqueName="[Range 1].[Sugars].[All]" dimensionUniqueName="[Range 1]" displayFolder="" count="0" memberValueDatatype="20" unbalanced="0"/>
    <cacheHierarchy uniqueName="[Range 1].[Protein]" caption="Protein" attribute="1" defaultMemberUniqueName="[Range 1].[Protein].[All]" allUniqueName="[Range 1].[Protein].[All]" dimensionUniqueName="[Range 1]" displayFolder="" count="2" memberValueDatatype="20" unbalanced="0">
      <fieldsUsage count="2">
        <fieldUsage x="-1"/>
        <fieldUsage x="0"/>
      </fieldsUsage>
    </cacheHierarchy>
    <cacheHierarchy uniqueName="[Range 1].[Vitamin A (% Daily Value)]" caption="Vitamin A (% Daily Value)" attribute="1" defaultMemberUniqueName="[Range 1].[Vitamin A (% Daily Value)].[All]" allUniqueName="[Range 1].[Vitamin A (% Daily Value)].[All]" dimensionUniqueName="[Range 1]" displayFolder="" count="0" memberValueDatatype="20" unbalanced="0"/>
    <cacheHierarchy uniqueName="[Range 1].[Vitamin C (% Daily Value)]" caption="Vitamin C (% Daily Value)" attribute="1" defaultMemberUniqueName="[Range 1].[Vitamin C (% Daily Value)].[All]" allUniqueName="[Range 1].[Vitamin C (% Daily Value)].[All]" dimensionUniqueName="[Range 1]" displayFolder="" count="0" memberValueDatatype="20" unbalanced="0"/>
    <cacheHierarchy uniqueName="[Range 1].[Calcium (% Daily Value)]" caption="Calcium (% Daily Value)" attribute="1" defaultMemberUniqueName="[Range 1].[Calcium (% Daily Value)].[All]" allUniqueName="[Range 1].[Calcium (% Daily Value)].[All]" dimensionUniqueName="[Range 1]" displayFolder="" count="0" memberValueDatatype="20" unbalanced="0"/>
    <cacheHierarchy uniqueName="[Range 1].[Iron (% Daily Value)]" caption="Iron (% Daily Value)" attribute="1" defaultMemberUniqueName="[Range 1].[Iron (% Daily Value)].[All]" allUniqueName="[Range 1].[Iron (% Daily Value)].[All]" dimensionUniqueName="[Range 1]" displayFolder="" count="0" memberValueDatatype="20" unbalanced="0"/>
    <cacheHierarchy uniqueName="[Range 1].[HighNutrients]" caption="HighNutrients" attribute="1" defaultMemberUniqueName="[Range 1].[HighNutrients].[All]" allUniqueName="[Range 1].[HighNutrients].[All]" dimensionUniqueName="[Range 1]" displayFolder="" count="0" memberValueDatatype="13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alories]" caption="Sum of Calories" measure="1" displayFolder="" measureGroup="Range" count="0" hidden="1">
      <extLst>
        <ext xmlns:x15="http://schemas.microsoft.com/office/spreadsheetml/2010/11/main" uri="{B97F6D7D-B522-45F9-BDA1-12C45D357490}">
          <x15:cacheHierarchy aggregatedColumn="3"/>
        </ext>
      </extLst>
    </cacheHierarchy>
    <cacheHierarchy uniqueName="[Measures].[Sum of Cholesterol (% Daily Value)]" caption="Sum of Cholesterol (% Daily Value)" measure="1" displayFolder="" measureGroup="Range" count="0" hidden="1">
      <extLst>
        <ext xmlns:x15="http://schemas.microsoft.com/office/spreadsheetml/2010/11/main" uri="{B97F6D7D-B522-45F9-BDA1-12C45D357490}">
          <x15:cacheHierarchy aggregatedColumn="11"/>
        </ext>
      </extLst>
    </cacheHierarchy>
    <cacheHierarchy uniqueName="[Measures].[Average of Cholesterol (% Daily Value)]" caption="Average of Cholesterol (% Daily Value)" measure="1" displayFolder="" measureGroup="Range" count="0" hidden="1">
      <extLst>
        <ext xmlns:x15="http://schemas.microsoft.com/office/spreadsheetml/2010/11/main" uri="{B97F6D7D-B522-45F9-BDA1-12C45D357490}">
          <x15:cacheHierarchy aggregatedColumn="11"/>
        </ext>
      </extLst>
    </cacheHierarchy>
    <cacheHierarchy uniqueName="[Measures].[Sum of Total Fat (% Daily Value)]" caption="Sum of Total Fat (% Daily Value)" measure="1" displayFolder="" measureGroup="Range" count="0" hidden="1">
      <extLst>
        <ext xmlns:x15="http://schemas.microsoft.com/office/spreadsheetml/2010/11/main" uri="{B97F6D7D-B522-45F9-BDA1-12C45D357490}">
          <x15:cacheHierarchy aggregatedColumn="6"/>
        </ext>
      </extLst>
    </cacheHierarchy>
    <cacheHierarchy uniqueName="[Measures].[Average of Total Fat (% Daily Value)]" caption="Average of Total Fat (% Daily Value)" measure="1" displayFolder="" measureGroup="Range" count="0" hidden="1">
      <extLst>
        <ext xmlns:x15="http://schemas.microsoft.com/office/spreadsheetml/2010/11/main" uri="{B97F6D7D-B522-45F9-BDA1-12C45D357490}">
          <x15:cacheHierarchy aggregatedColumn="6"/>
        </ext>
      </extLst>
    </cacheHierarchy>
    <cacheHierarchy uniqueName="[Measures].[Sum of Saturated Fat (% Daily Value)]" caption="Sum of Saturated Fat (% Daily Value)" measure="1" displayFolder="" measureGroup="Range" count="0" hidden="1">
      <extLst>
        <ext xmlns:x15="http://schemas.microsoft.com/office/spreadsheetml/2010/11/main" uri="{B97F6D7D-B522-45F9-BDA1-12C45D357490}">
          <x15:cacheHierarchy aggregatedColumn="8"/>
        </ext>
      </extLst>
    </cacheHierarchy>
    <cacheHierarchy uniqueName="[Measures].[Sum of Sodium (% Daily Value)]" caption="Sum of Sodium (% Daily Value)" measure="1" displayFolder="" measureGroup="Range" count="0" hidden="1">
      <extLst>
        <ext xmlns:x15="http://schemas.microsoft.com/office/spreadsheetml/2010/11/main" uri="{B97F6D7D-B522-45F9-BDA1-12C45D357490}">
          <x15:cacheHierarchy aggregatedColumn="13"/>
        </ext>
      </extLst>
    </cacheHierarchy>
    <cacheHierarchy uniqueName="[Measures].[Sum of Carbohydrates (% Daily Value)]" caption="Sum of Carbohydrates (% Daily Value)" measure="1" displayFolder="" measureGroup="Range" count="0" hidden="1">
      <extLst>
        <ext xmlns:x15="http://schemas.microsoft.com/office/spreadsheetml/2010/11/main" uri="{B97F6D7D-B522-45F9-BDA1-12C45D357490}">
          <x15:cacheHierarchy aggregatedColumn="15"/>
        </ext>
      </extLst>
    </cacheHierarchy>
    <cacheHierarchy uniqueName="[Measures].[Sum of Dietary Fiber (% Daily Value)]" caption="Sum of Dietary Fiber (% Daily Value)" measure="1" displayFolder="" measureGroup="Range" count="0" hidden="1">
      <extLst>
        <ext xmlns:x15="http://schemas.microsoft.com/office/spreadsheetml/2010/11/main" uri="{B97F6D7D-B522-45F9-BDA1-12C45D357490}">
          <x15:cacheHierarchy aggregatedColumn="17"/>
        </ext>
      </extLst>
    </cacheHierarchy>
    <cacheHierarchy uniqueName="[Measures].[Sum of Vitamin A (% Daily Value)]" caption="Sum of Vitamin A (% Daily Value)" measure="1" displayFolder="" measureGroup="Range" count="0" hidden="1">
      <extLst>
        <ext xmlns:x15="http://schemas.microsoft.com/office/spreadsheetml/2010/11/main" uri="{B97F6D7D-B522-45F9-BDA1-12C45D357490}">
          <x15:cacheHierarchy aggregatedColumn="20"/>
        </ext>
      </extLst>
    </cacheHierarchy>
    <cacheHierarchy uniqueName="[Measures].[Sum of Vitamin C (% Daily Value)]" caption="Sum of Vitamin C (% Daily Value)" measure="1" displayFolder="" measureGroup="Range" count="0" hidden="1">
      <extLst>
        <ext xmlns:x15="http://schemas.microsoft.com/office/spreadsheetml/2010/11/main" uri="{B97F6D7D-B522-45F9-BDA1-12C45D357490}">
          <x15:cacheHierarchy aggregatedColumn="21"/>
        </ext>
      </extLst>
    </cacheHierarchy>
    <cacheHierarchy uniqueName="[Measures].[Sum of Calcium (% Daily Value)]" caption="Sum of Calcium (% Daily Value)" measure="1" displayFolder="" measureGroup="Range" count="0" hidden="1">
      <extLst>
        <ext xmlns:x15="http://schemas.microsoft.com/office/spreadsheetml/2010/11/main" uri="{B97F6D7D-B522-45F9-BDA1-12C45D357490}">
          <x15:cacheHierarchy aggregatedColumn="22"/>
        </ext>
      </extLst>
    </cacheHierarchy>
    <cacheHierarchy uniqueName="[Measures].[Sum of Iron (% Daily Value)]" caption="Sum of Iron (% Daily Value)" measure="1" displayFolder="" measureGroup="Range" count="0" hidden="1">
      <extLst>
        <ext xmlns:x15="http://schemas.microsoft.com/office/spreadsheetml/2010/11/main" uri="{B97F6D7D-B522-45F9-BDA1-12C45D357490}">
          <x15:cacheHierarchy aggregatedColumn="23"/>
        </ext>
      </extLst>
    </cacheHierarchy>
    <cacheHierarchy uniqueName="[Measures].[Sum of Sugars]" caption="Sum of Sugars" measure="1" displayFolder="" measureGroup="Range" count="0" hidden="1">
      <extLst>
        <ext xmlns:x15="http://schemas.microsoft.com/office/spreadsheetml/2010/11/main" uri="{B97F6D7D-B522-45F9-BDA1-12C45D357490}">
          <x15:cacheHierarchy aggregatedColumn="18"/>
        </ext>
      </extLst>
    </cacheHierarchy>
    <cacheHierarchy uniqueName="[Measures].[Sum of Protein]" caption="Sum of Protein" measure="1" displayFolder="" measureGroup="Range" count="0" hidden="1">
      <extLst>
        <ext xmlns:x15="http://schemas.microsoft.com/office/spreadsheetml/2010/11/main" uri="{B97F6D7D-B522-45F9-BDA1-12C45D357490}">
          <x15:cacheHierarchy aggregatedColumn="19"/>
        </ext>
      </extLst>
    </cacheHierarchy>
    <cacheHierarchy uniqueName="[Measures].[Sum of Calories from Fat]" caption="Sum of Calories from Fat" measure="1" displayFolder="" measureGroup="Range" count="0" hidden="1">
      <extLst>
        <ext xmlns:x15="http://schemas.microsoft.com/office/spreadsheetml/2010/11/main" uri="{B97F6D7D-B522-45F9-BDA1-12C45D357490}">
          <x15:cacheHierarchy aggregatedColumn="4"/>
        </ext>
      </extLst>
    </cacheHierarchy>
    <cacheHierarchy uniqueName="[Measures].[Sum of Vitamin A (% Daily Value) 2]" caption="Sum of Vitamin A (% Daily Value) 2" measure="1" displayFolder="" measureGroup="Range 1" count="0" hidden="1">
      <extLst>
        <ext xmlns:x15="http://schemas.microsoft.com/office/spreadsheetml/2010/11/main" uri="{B97F6D7D-B522-45F9-BDA1-12C45D357490}">
          <x15:cacheHierarchy aggregatedColumn="45"/>
        </ext>
      </extLst>
    </cacheHierarchy>
    <cacheHierarchy uniqueName="[Measures].[Sum of Calories 2]" caption="Sum of Calories 2" measure="1" displayFolder="" measureGroup="Range 1" count="0" oneField="1" hidden="1">
      <fieldsUsage count="1">
        <fieldUsage x="4"/>
      </fieldsUsage>
      <extLst>
        <ext xmlns:x15="http://schemas.microsoft.com/office/spreadsheetml/2010/11/main" uri="{B97F6D7D-B522-45F9-BDA1-12C45D357490}">
          <x15:cacheHierarchy aggregatedColumn="27"/>
        </ext>
      </extLst>
    </cacheHierarchy>
    <cacheHierarchy uniqueName="[Measures].[Sum of Sugars 2]" caption="Sum of Sugars 2" measure="1" displayFolder="" measureGroup="Range 1" count="0" hidden="1">
      <extLst>
        <ext xmlns:x15="http://schemas.microsoft.com/office/spreadsheetml/2010/11/main" uri="{B97F6D7D-B522-45F9-BDA1-12C45D357490}">
          <x15:cacheHierarchy aggregatedColumn="43"/>
        </ext>
      </extLst>
    </cacheHierarchy>
    <cacheHierarchy uniqueName="[Measures].[Sum of Sodium]" caption="Sum of Sodium" measure="1" displayFolder="" measureGroup="Range 1" count="0" hidden="1">
      <extLst>
        <ext xmlns:x15="http://schemas.microsoft.com/office/spreadsheetml/2010/11/main" uri="{B97F6D7D-B522-45F9-BDA1-12C45D357490}">
          <x15:cacheHierarchy aggregatedColumn="37"/>
        </ext>
      </extLst>
    </cacheHierarchy>
    <cacheHierarchy uniqueName="[Measures].[Sum of Saturated Fat (% Daily Value) 2]" caption="Sum of Saturated Fat (% Daily Value) 2" measure="1" displayFolder="" measureGroup="Range 1" count="0" hidden="1">
      <extLst>
        <ext xmlns:x15="http://schemas.microsoft.com/office/spreadsheetml/2010/11/main" uri="{B97F6D7D-B522-45F9-BDA1-12C45D357490}">
          <x15:cacheHierarchy aggregatedColumn="33"/>
        </ext>
      </extLst>
    </cacheHierarchy>
    <cacheHierarchy uniqueName="[Measures].[Sum of FatCaloriesPercent]" caption="Sum of FatCaloriesPercent" measure="1" displayFolder="" measureGroup="Range 1" count="0" hidden="1">
      <extLst>
        <ext xmlns:x15="http://schemas.microsoft.com/office/spreadsheetml/2010/11/main" uri="{B97F6D7D-B522-45F9-BDA1-12C45D357490}">
          <x15:cacheHierarchy aggregatedColumn="29"/>
        </ext>
      </extLst>
    </cacheHierarchy>
    <cacheHierarchy uniqueName="[Measures].[Sum of Calories from Fat 2]" caption="Sum of Calories from Fat 2" measure="1" displayFolder="" measureGroup="Range 1" count="0" oneField="1" hidden="1">
      <fieldsUsage count="1">
        <fieldUsage x="5"/>
      </fieldsUsage>
      <extLst>
        <ext xmlns:x15="http://schemas.microsoft.com/office/spreadsheetml/2010/11/main" uri="{B97F6D7D-B522-45F9-BDA1-12C45D357490}">
          <x15:cacheHierarchy aggregatedColumn="28"/>
        </ext>
      </extLst>
    </cacheHierarchy>
    <cacheHierarchy uniqueName="[Measures].[Sum of Total Fat (% Daily Value) 2]" caption="Sum of Total Fat (% Daily Value) 2" measure="1" displayFolder="" measureGroup="Range 1" count="0" hidden="1">
      <extLst>
        <ext xmlns:x15="http://schemas.microsoft.com/office/spreadsheetml/2010/11/main" uri="{B97F6D7D-B522-45F9-BDA1-12C45D357490}">
          <x15:cacheHierarchy aggregatedColumn="31"/>
        </ext>
      </extLst>
    </cacheHierarchy>
    <cacheHierarchy uniqueName="[Measures].[Sum of Total Fat]" caption="Sum of Total Fat" measure="1" displayFolder="" measureGroup="Range 1" count="0" hidden="1">
      <extLst>
        <ext xmlns:x15="http://schemas.microsoft.com/office/spreadsheetml/2010/11/main" uri="{B97F6D7D-B522-45F9-BDA1-12C45D357490}">
          <x15:cacheHierarchy aggregatedColumn="30"/>
        </ext>
      </extLst>
    </cacheHierarchy>
    <cacheHierarchy uniqueName="[Measures].[Sum of Saturated Fat]" caption="Sum of Saturated Fat" measure="1" displayFolder="" measureGroup="Range 1" count="0" hidden="1">
      <extLst>
        <ext xmlns:x15="http://schemas.microsoft.com/office/spreadsheetml/2010/11/main" uri="{B97F6D7D-B522-45F9-BDA1-12C45D357490}">
          <x15:cacheHierarchy aggregatedColumn="32"/>
        </ext>
      </extLst>
    </cacheHierarchy>
    <cacheHierarchy uniqueName="[Measures].[Sum of Protein 2]" caption="Sum of Protein 2" measure="1" displayFolder="" measureGroup="Range 1" count="0" hidden="1">
      <extLst>
        <ext xmlns:x15="http://schemas.microsoft.com/office/spreadsheetml/2010/11/main" uri="{B97F6D7D-B522-45F9-BDA1-12C45D357490}">
          <x15:cacheHierarchy aggregatedColumn="44"/>
        </ext>
      </extLst>
    </cacheHierarchy>
    <cacheHierarchy uniqueName="[Measures].[Sum of Cholesterol]" caption="Sum of Cholesterol" measure="1" displayFolder="" measureGroup="Range 1" count="0" hidden="1">
      <extLst>
        <ext xmlns:x15="http://schemas.microsoft.com/office/spreadsheetml/2010/11/main" uri="{B97F6D7D-B522-45F9-BDA1-12C45D357490}">
          <x15:cacheHierarchy aggregatedColumn="35"/>
        </ext>
      </extLst>
    </cacheHierarchy>
    <cacheHierarchy uniqueName="[Measures].[Count of HighNutrients]" caption="Count of HighNutrients" measure="1" displayFolder="" measureGroup="Range 1" count="0" hidden="1">
      <extLst>
        <ext xmlns:x15="http://schemas.microsoft.com/office/spreadsheetml/2010/11/main" uri="{B97F6D7D-B522-45F9-BDA1-12C45D357490}">
          <x15:cacheHierarchy aggregatedColumn="49"/>
        </ext>
      </extLst>
    </cacheHierarchy>
    <cacheHierarchy uniqueName="[Measures].[Sum of Carbohydrates]" caption="Sum of Carbohydrates" measure="1" displayFolder="" measureGroup="Range 1" count="0" hidden="1">
      <extLst>
        <ext xmlns:x15="http://schemas.microsoft.com/office/spreadsheetml/2010/11/main" uri="{B97F6D7D-B522-45F9-BDA1-12C45D357490}">
          <x15:cacheHierarchy aggregatedColumn="39"/>
        </ext>
      </extLst>
    </cacheHierarchy>
    <cacheHierarchy uniqueName="[Measures].[Sum of Carbohydrates (% Daily Value) 2]" caption="Sum of Carbohydrates (% Daily Value) 2" measure="1" displayFolder="" measureGroup="Range 1" count="0" hidden="1">
      <extLst>
        <ext xmlns:x15="http://schemas.microsoft.com/office/spreadsheetml/2010/11/main" uri="{B97F6D7D-B522-45F9-BDA1-12C45D357490}">
          <x15:cacheHierarchy aggregatedColumn="40"/>
        </ext>
      </extLst>
    </cacheHierarchy>
    <cacheHierarchy uniqueName="[Measures].[Count of Category]" caption="Count of Category" measure="1" displayFolder="" measureGroup="Range"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yabini Venkatesan" refreshedDate="45106.540699884259" backgroundQuery="1" createdVersion="8" refreshedVersion="8" minRefreshableVersion="3" recordCount="0" supportSubquery="1" supportAdvancedDrill="1" xr:uid="{B4D9C2EA-0814-4A6A-8C14-634841124908}">
  <cacheSource type="external" connectionId="1"/>
  <cacheFields count="5">
    <cacheField name="[Range 1].[HighNutrients].[HighNutrients]" caption="HighNutrients" numFmtId="0" hierarchy="49" level="1">
      <sharedItems count="1">
        <s v="Vitamin A"/>
      </sharedItems>
    </cacheField>
    <cacheField name="[Range 1].[Category].[Category]" caption="Category" numFmtId="0" hierarchy="24" level="1">
      <sharedItems count="1">
        <s v="Desserts"/>
      </sharedItems>
    </cacheField>
    <cacheField name="[Range 1].[Item].[Item]" caption="Item" numFmtId="0" hierarchy="25" level="1">
      <sharedItems count="7">
        <s v="Baked Apple Pie"/>
        <s v="Chocolate Chip Cookie"/>
        <s v="Hot Caramel Sundae"/>
        <s v="Hot Fudge Sundae"/>
        <s v="Kids Ice Cream Cone"/>
        <s v="Oatmeal Raisin Cookie"/>
        <s v="Strawberry Sundae"/>
      </sharedItems>
    </cacheField>
    <cacheField name="[Measures].[Sum of Sugars 2]" caption="Sum of Sugars 2" numFmtId="0" hierarchy="71" level="32767"/>
    <cacheField name="[Measures].[Sum of Sodium]" caption="Sum of Sodium" numFmtId="0" hierarchy="72" level="32767"/>
  </cacheFields>
  <cacheHierarchies count="85">
    <cacheHierarchy uniqueName="[Range].[Category]" caption="Category" attribute="1" defaultMemberUniqueName="[Range].[Category].[All]" allUniqueName="[Range].[Category].[All]" dimensionUniqueName="[Range]" displayFolder="" count="0" memberValueDatatype="130" unbalanced="0"/>
    <cacheHierarchy uniqueName="[Range].[Item]" caption="Item" attribute="1" defaultMemberUniqueName="[Range].[Item].[All]" allUniqueName="[Range].[Item].[All]" dimensionUniqueName="[Range]" displayFolder="" count="0" memberValueDatatype="130" unbalanced="0"/>
    <cacheHierarchy uniqueName="[Range].[Serving Size]" caption="Serving Size" attribute="1" defaultMemberUniqueName="[Range].[Serving Size].[All]" allUniqueName="[Range].[Serving Size].[All]" dimensionUniqueName="[Range]" displayFolder="" count="0" memberValueDatatype="130" unbalanced="0"/>
    <cacheHierarchy uniqueName="[Range].[Calories]" caption="Calories" attribute="1" defaultMemberUniqueName="[Range].[Calories].[All]" allUniqueName="[Range].[Calories].[All]" dimensionUniqueName="[Range]" displayFolder="" count="0" memberValueDatatype="20" unbalanced="0"/>
    <cacheHierarchy uniqueName="[Range].[Calories from Fat]" caption="Calories from Fat" attribute="1" defaultMemberUniqueName="[Range].[Calories from Fat].[All]" allUniqueName="[Range].[Calories from Fat].[All]" dimensionUniqueName="[Range]" displayFolder="" count="0" memberValueDatatype="20" unbalanced="0"/>
    <cacheHierarchy uniqueName="[Range].[Total Fat]" caption="Total Fat" attribute="1" defaultMemberUniqueName="[Range].[Total Fat].[All]" allUniqueName="[Range].[Total Fat].[All]" dimensionUniqueName="[Range]" displayFolder="" count="0" memberValueDatatype="5" unbalanced="0"/>
    <cacheHierarchy uniqueName="[Range].[Total Fat (% Daily Value)]" caption="Total Fat (% Daily Value)" attribute="1" defaultMemberUniqueName="[Range].[Total Fat (% Daily Value)].[All]" allUniqueName="[Range].[Total Fat (% Daily Value)].[All]" dimensionUniqueName="[Range]" displayFolder="" count="0" memberValueDatatype="20" unbalanced="0"/>
    <cacheHierarchy uniqueName="[Range].[Saturated Fat]" caption="Saturated Fat" attribute="1" defaultMemberUniqueName="[Range].[Saturated Fat].[All]" allUniqueName="[Range].[Saturated Fat].[All]" dimensionUniqueName="[Range]" displayFolder="" count="0" memberValueDatatype="5" unbalanced="0"/>
    <cacheHierarchy uniqueName="[Range].[Saturated Fat (% Daily Value)]" caption="Saturated Fat (% Daily Value)" attribute="1" defaultMemberUniqueName="[Range].[Saturated Fat (% Daily Value)].[All]" allUniqueName="[Range].[Saturated Fat (% Daily Value)].[All]" dimensionUniqueName="[Range]" displayFolder="" count="0" memberValueDatatype="20" unbalanced="0"/>
    <cacheHierarchy uniqueName="[Range].[Trans Fat]" caption="Trans Fat" attribute="1" defaultMemberUniqueName="[Range].[Trans Fat].[All]" allUniqueName="[Range].[Trans Fat].[All]" dimensionUniqueName="[Range]" displayFolder="" count="0" memberValueDatatype="5" unbalanced="0"/>
    <cacheHierarchy uniqueName="[Range].[Cholesterol]" caption="Cholesterol" attribute="1" defaultMemberUniqueName="[Range].[Cholesterol].[All]" allUniqueName="[Range].[Cholesterol].[All]" dimensionUniqueName="[Range]" displayFolder="" count="0" memberValueDatatype="20" unbalanced="0"/>
    <cacheHierarchy uniqueName="[Range].[Cholesterol (% Daily Value)]" caption="Cholesterol (% Daily Value)" attribute="1" defaultMemberUniqueName="[Range].[Cholesterol (% Daily Value)].[All]" allUniqueName="[Range].[Cholesterol (% Daily Value)].[All]" dimensionUniqueName="[Range]" displayFolder="" count="0" memberValueDatatype="20" unbalanced="0"/>
    <cacheHierarchy uniqueName="[Range].[Sodium]" caption="Sodium" attribute="1" defaultMemberUniqueName="[Range].[Sodium].[All]" allUniqueName="[Range].[Sodium].[All]" dimensionUniqueName="[Range]" displayFolder="" count="0" memberValueDatatype="20" unbalanced="0"/>
    <cacheHierarchy uniqueName="[Range].[Sodium (% Daily Value)]" caption="Sodium (% Daily Value)" attribute="1" defaultMemberUniqueName="[Range].[Sodium (% Daily Value)].[All]" allUniqueName="[Range].[Sodium (% Daily Value)].[All]" dimensionUniqueName="[Range]" displayFolder="" count="0" memberValueDatatype="20" unbalanced="0"/>
    <cacheHierarchy uniqueName="[Range].[Carbohydrates]" caption="Carbohydrates" attribute="1" defaultMemberUniqueName="[Range].[Carbohydrates].[All]" allUniqueName="[Range].[Carbohydrates].[All]" dimensionUniqueName="[Range]" displayFolder="" count="0" memberValueDatatype="20" unbalanced="0"/>
    <cacheHierarchy uniqueName="[Range].[Carbohydrates (% Daily Value)]" caption="Carbohydrates (% Daily Value)" attribute="1" defaultMemberUniqueName="[Range].[Carbohydrates (% Daily Value)].[All]" allUniqueName="[Range].[Carbohydrates (% Daily Value)].[All]" dimensionUniqueName="[Range]" displayFolder="" count="0" memberValueDatatype="20" unbalanced="0"/>
    <cacheHierarchy uniqueName="[Range].[Dietary Fiber]" caption="Dietary Fiber" attribute="1" defaultMemberUniqueName="[Range].[Dietary Fiber].[All]" allUniqueName="[Range].[Dietary Fiber].[All]" dimensionUniqueName="[Range]" displayFolder="" count="0" memberValueDatatype="20" unbalanced="0"/>
    <cacheHierarchy uniqueName="[Range].[Dietary Fiber (% Daily Value)]" caption="Dietary Fiber (% Daily Value)" attribute="1" defaultMemberUniqueName="[Range].[Dietary Fiber (% Daily Value)].[All]" allUniqueName="[Range].[Dietary Fiber (% Daily Value)].[All]" dimensionUniqueName="[Range]" displayFolder="" count="0" memberValueDatatype="20" unbalanced="0"/>
    <cacheHierarchy uniqueName="[Range].[Sugars]" caption="Sugars" attribute="1" defaultMemberUniqueName="[Range].[Sugars].[All]" allUniqueName="[Range].[Sugars].[All]" dimensionUniqueName="[Range]" displayFolder="" count="0" memberValueDatatype="20" unbalanced="0"/>
    <cacheHierarchy uniqueName="[Range].[Protein]" caption="Protein" attribute="1" defaultMemberUniqueName="[Range].[Protein].[All]" allUniqueName="[Range].[Protein].[All]" dimensionUniqueName="[Range]" displayFolder="" count="0" memberValueDatatype="20" unbalanced="0"/>
    <cacheHierarchy uniqueName="[Range].[Vitamin A (% Daily Value)]" caption="Vitamin A (% Daily Value)" attribute="1" defaultMemberUniqueName="[Range].[Vitamin A (% Daily Value)].[All]" allUniqueName="[Range].[Vitamin A (% Daily Value)].[All]" dimensionUniqueName="[Range]" displayFolder="" count="0" memberValueDatatype="20" unbalanced="0"/>
    <cacheHierarchy uniqueName="[Range].[Vitamin C (% Daily Value)]" caption="Vitamin C (% Daily Value)" attribute="1" defaultMemberUniqueName="[Range].[Vitamin C (% Daily Value)].[All]" allUniqueName="[Range].[Vitamin C (% Daily Value)].[All]" dimensionUniqueName="[Range]" displayFolder="" count="0" memberValueDatatype="20" unbalanced="0"/>
    <cacheHierarchy uniqueName="[Range].[Calcium (% Daily Value)]" caption="Calcium (% Daily Value)" attribute="1" defaultMemberUniqueName="[Range].[Calcium (% Daily Value)].[All]" allUniqueName="[Range].[Calcium (% Daily Value)].[All]" dimensionUniqueName="[Range]" displayFolder="" count="0" memberValueDatatype="20" unbalanced="0"/>
    <cacheHierarchy uniqueName="[Range].[Iron (% Daily Value)]" caption="Iron (% Daily Value)" attribute="1" defaultMemberUniqueName="[Range].[Iron (% Daily Value)].[All]" allUniqueName="[Range].[Iron (% Daily Value)].[All]" dimensionUniqueName="[Range]" displayFolder="" count="0" memberValueDatatype="20" unbalanced="0"/>
    <cacheHierarchy uniqueName="[Range 1].[Category]" caption="Category" attribute="1" defaultMemberUniqueName="[Range 1].[Category].[All]" allUniqueName="[Range 1].[Category].[All]" dimensionUniqueName="[Range 1]" displayFolder="" count="2" memberValueDatatype="130" unbalanced="0">
      <fieldsUsage count="2">
        <fieldUsage x="-1"/>
        <fieldUsage x="1"/>
      </fieldsUsage>
    </cacheHierarchy>
    <cacheHierarchy uniqueName="[Range 1].[Item]" caption="Item" attribute="1" defaultMemberUniqueName="[Range 1].[Item].[All]" allUniqueName="[Range 1].[Item].[All]" dimensionUniqueName="[Range 1]" displayFolder="" count="2" memberValueDatatype="130" unbalanced="0">
      <fieldsUsage count="2">
        <fieldUsage x="-1"/>
        <fieldUsage x="2"/>
      </fieldsUsage>
    </cacheHierarchy>
    <cacheHierarchy uniqueName="[Range 1].[Serving Size]" caption="Serving Size" attribute="1" defaultMemberUniqueName="[Range 1].[Serving Size].[All]" allUniqueName="[Range 1].[Serving Size].[All]" dimensionUniqueName="[Range 1]" displayFolder="" count="0" memberValueDatatype="130" unbalanced="0"/>
    <cacheHierarchy uniqueName="[Range 1].[Calories]" caption="Calories" attribute="1" defaultMemberUniqueName="[Range 1].[Calories].[All]" allUniqueName="[Range 1].[Calories].[All]" dimensionUniqueName="[Range 1]" displayFolder="" count="0" memberValueDatatype="20" unbalanced="0"/>
    <cacheHierarchy uniqueName="[Range 1].[Calories from Fat]" caption="Calories from Fat" attribute="1" defaultMemberUniqueName="[Range 1].[Calories from Fat].[All]" allUniqueName="[Range 1].[Calories from Fat].[All]" dimensionUniqueName="[Range 1]" displayFolder="" count="0" memberValueDatatype="20" unbalanced="0"/>
    <cacheHierarchy uniqueName="[Range 1].[FatCaloriesPercent]" caption="FatCaloriesPercent" attribute="1" defaultMemberUniqueName="[Range 1].[FatCaloriesPercent].[All]" allUniqueName="[Range 1].[FatCaloriesPercent].[All]" dimensionUniqueName="[Range 1]" displayFolder="" count="0" memberValueDatatype="5" unbalanced="0"/>
    <cacheHierarchy uniqueName="[Range 1].[Total Fat]" caption="Total Fat" attribute="1" defaultMemberUniqueName="[Range 1].[Total Fat].[All]" allUniqueName="[Range 1].[Total Fat].[All]" dimensionUniqueName="[Range 1]" displayFolder="" count="0" memberValueDatatype="5" unbalanced="0"/>
    <cacheHierarchy uniqueName="[Range 1].[Total Fat (% Daily Value)]" caption="Total Fat (% Daily Value)" attribute="1" defaultMemberUniqueName="[Range 1].[Total Fat (% Daily Value)].[All]" allUniqueName="[Range 1].[Total Fat (% Daily Value)].[All]" dimensionUniqueName="[Range 1]" displayFolder="" count="0" memberValueDatatype="20" unbalanced="0"/>
    <cacheHierarchy uniqueName="[Range 1].[Saturated Fat]" caption="Saturated Fat" attribute="1" defaultMemberUniqueName="[Range 1].[Saturated Fat].[All]" allUniqueName="[Range 1].[Saturated Fat].[All]" dimensionUniqueName="[Range 1]" displayFolder="" count="0" memberValueDatatype="5" unbalanced="0"/>
    <cacheHierarchy uniqueName="[Range 1].[Saturated Fat (% Daily Value)]" caption="Saturated Fat (% Daily Value)" attribute="1" defaultMemberUniqueName="[Range 1].[Saturated Fat (% Daily Value)].[All]" allUniqueName="[Range 1].[Saturated Fat (% Daily Value)].[All]" dimensionUniqueName="[Range 1]" displayFolder="" count="0" memberValueDatatype="20" unbalanced="0"/>
    <cacheHierarchy uniqueName="[Range 1].[Trans Fat]" caption="Trans Fat" attribute="1" defaultMemberUniqueName="[Range 1].[Trans Fat].[All]" allUniqueName="[Range 1].[Trans Fat].[All]" dimensionUniqueName="[Range 1]" displayFolder="" count="0" memberValueDatatype="5" unbalanced="0"/>
    <cacheHierarchy uniqueName="[Range 1].[Cholesterol]" caption="Cholesterol" attribute="1" defaultMemberUniqueName="[Range 1].[Cholesterol].[All]" allUniqueName="[Range 1].[Cholesterol].[All]" dimensionUniqueName="[Range 1]" displayFolder="" count="0" memberValueDatatype="20" unbalanced="0"/>
    <cacheHierarchy uniqueName="[Range 1].[Cholesterol (% Daily Value)]" caption="Cholesterol (% Daily Value)" attribute="1" defaultMemberUniqueName="[Range 1].[Cholesterol (% Daily Value)].[All]" allUniqueName="[Range 1].[Cholesterol (% Daily Value)].[All]" dimensionUniqueName="[Range 1]" displayFolder="" count="0" memberValueDatatype="20" unbalanced="0"/>
    <cacheHierarchy uniqueName="[Range 1].[Sodium]" caption="Sodium" attribute="1" defaultMemberUniqueName="[Range 1].[Sodium].[All]" allUniqueName="[Range 1].[Sodium].[All]" dimensionUniqueName="[Range 1]" displayFolder="" count="0" memberValueDatatype="20" unbalanced="0"/>
    <cacheHierarchy uniqueName="[Range 1].[Sodium (% Daily Value)]" caption="Sodium (% Daily Value)" attribute="1" defaultMemberUniqueName="[Range 1].[Sodium (% Daily Value)].[All]" allUniqueName="[Range 1].[Sodium (% Daily Value)].[All]" dimensionUniqueName="[Range 1]" displayFolder="" count="0" memberValueDatatype="20" unbalanced="0"/>
    <cacheHierarchy uniqueName="[Range 1].[Carbohydrates]" caption="Carbohydrates" attribute="1" defaultMemberUniqueName="[Range 1].[Carbohydrates].[All]" allUniqueName="[Range 1].[Carbohydrates].[All]" dimensionUniqueName="[Range 1]" displayFolder="" count="0" memberValueDatatype="20" unbalanced="0"/>
    <cacheHierarchy uniqueName="[Range 1].[Carbohydrates (% Daily Value)]" caption="Carbohydrates (% Daily Value)" attribute="1" defaultMemberUniqueName="[Range 1].[Carbohydrates (% Daily Value)].[All]" allUniqueName="[Range 1].[Carbohydrates (% Daily Value)].[All]" dimensionUniqueName="[Range 1]" displayFolder="" count="0" memberValueDatatype="20" unbalanced="0"/>
    <cacheHierarchy uniqueName="[Range 1].[Dietary Fiber]" caption="Dietary Fiber" attribute="1" defaultMemberUniqueName="[Range 1].[Dietary Fiber].[All]" allUniqueName="[Range 1].[Dietary Fiber].[All]" dimensionUniqueName="[Range 1]" displayFolder="" count="0" memberValueDatatype="20" unbalanced="0"/>
    <cacheHierarchy uniqueName="[Range 1].[Dietary Fiber (% Daily Value)]" caption="Dietary Fiber (% Daily Value)" attribute="1" defaultMemberUniqueName="[Range 1].[Dietary Fiber (% Daily Value)].[All]" allUniqueName="[Range 1].[Dietary Fiber (% Daily Value)].[All]" dimensionUniqueName="[Range 1]" displayFolder="" count="0" memberValueDatatype="20" unbalanced="0"/>
    <cacheHierarchy uniqueName="[Range 1].[Sugars]" caption="Sugars" attribute="1" defaultMemberUniqueName="[Range 1].[Sugars].[All]" allUniqueName="[Range 1].[Sugars].[All]" dimensionUniqueName="[Range 1]" displayFolder="" count="0" memberValueDatatype="20" unbalanced="0"/>
    <cacheHierarchy uniqueName="[Range 1].[Protein]" caption="Protein" attribute="1" defaultMemberUniqueName="[Range 1].[Protein].[All]" allUniqueName="[Range 1].[Protein].[All]" dimensionUniqueName="[Range 1]" displayFolder="" count="0" memberValueDatatype="20" unbalanced="0"/>
    <cacheHierarchy uniqueName="[Range 1].[Vitamin A (% Daily Value)]" caption="Vitamin A (% Daily Value)" attribute="1" defaultMemberUniqueName="[Range 1].[Vitamin A (% Daily Value)].[All]" allUniqueName="[Range 1].[Vitamin A (% Daily Value)].[All]" dimensionUniqueName="[Range 1]" displayFolder="" count="0" memberValueDatatype="20" unbalanced="0"/>
    <cacheHierarchy uniqueName="[Range 1].[Vitamin C (% Daily Value)]" caption="Vitamin C (% Daily Value)" attribute="1" defaultMemberUniqueName="[Range 1].[Vitamin C (% Daily Value)].[All]" allUniqueName="[Range 1].[Vitamin C (% Daily Value)].[All]" dimensionUniqueName="[Range 1]" displayFolder="" count="0" memberValueDatatype="20" unbalanced="0"/>
    <cacheHierarchy uniqueName="[Range 1].[Calcium (% Daily Value)]" caption="Calcium (% Daily Value)" attribute="1" defaultMemberUniqueName="[Range 1].[Calcium (% Daily Value)].[All]" allUniqueName="[Range 1].[Calcium (% Daily Value)].[All]" dimensionUniqueName="[Range 1]" displayFolder="" count="0" memberValueDatatype="20" unbalanced="0"/>
    <cacheHierarchy uniqueName="[Range 1].[Iron (% Daily Value)]" caption="Iron (% Daily Value)" attribute="1" defaultMemberUniqueName="[Range 1].[Iron (% Daily Value)].[All]" allUniqueName="[Range 1].[Iron (% Daily Value)].[All]" dimensionUniqueName="[Range 1]" displayFolder="" count="0" memberValueDatatype="20" unbalanced="0"/>
    <cacheHierarchy uniqueName="[Range 1].[HighNutrients]" caption="HighNutrients" attribute="1" defaultMemberUniqueName="[Range 1].[HighNutrients].[All]" allUniqueName="[Range 1].[HighNutrients].[All]" dimensionUniqueName="[Range 1]" displayFolder="" count="2" memberValueDatatype="130" unbalanced="0">
      <fieldsUsage count="2">
        <fieldUsage x="-1"/>
        <fieldUsage x="0"/>
      </fieldsUsage>
    </cacheHierarchy>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alories]" caption="Sum of Calories" measure="1" displayFolder="" measureGroup="Range" count="0" hidden="1">
      <extLst>
        <ext xmlns:x15="http://schemas.microsoft.com/office/spreadsheetml/2010/11/main" uri="{B97F6D7D-B522-45F9-BDA1-12C45D357490}">
          <x15:cacheHierarchy aggregatedColumn="3"/>
        </ext>
      </extLst>
    </cacheHierarchy>
    <cacheHierarchy uniqueName="[Measures].[Sum of Cholesterol (% Daily Value)]" caption="Sum of Cholesterol (% Daily Value)" measure="1" displayFolder="" measureGroup="Range" count="0" hidden="1">
      <extLst>
        <ext xmlns:x15="http://schemas.microsoft.com/office/spreadsheetml/2010/11/main" uri="{B97F6D7D-B522-45F9-BDA1-12C45D357490}">
          <x15:cacheHierarchy aggregatedColumn="11"/>
        </ext>
      </extLst>
    </cacheHierarchy>
    <cacheHierarchy uniqueName="[Measures].[Average of Cholesterol (% Daily Value)]" caption="Average of Cholesterol (% Daily Value)" measure="1" displayFolder="" measureGroup="Range" count="0" hidden="1">
      <extLst>
        <ext xmlns:x15="http://schemas.microsoft.com/office/spreadsheetml/2010/11/main" uri="{B97F6D7D-B522-45F9-BDA1-12C45D357490}">
          <x15:cacheHierarchy aggregatedColumn="11"/>
        </ext>
      </extLst>
    </cacheHierarchy>
    <cacheHierarchy uniqueName="[Measures].[Sum of Total Fat (% Daily Value)]" caption="Sum of Total Fat (% Daily Value)" measure="1" displayFolder="" measureGroup="Range" count="0" hidden="1">
      <extLst>
        <ext xmlns:x15="http://schemas.microsoft.com/office/spreadsheetml/2010/11/main" uri="{B97F6D7D-B522-45F9-BDA1-12C45D357490}">
          <x15:cacheHierarchy aggregatedColumn="6"/>
        </ext>
      </extLst>
    </cacheHierarchy>
    <cacheHierarchy uniqueName="[Measures].[Average of Total Fat (% Daily Value)]" caption="Average of Total Fat (% Daily Value)" measure="1" displayFolder="" measureGroup="Range" count="0" hidden="1">
      <extLst>
        <ext xmlns:x15="http://schemas.microsoft.com/office/spreadsheetml/2010/11/main" uri="{B97F6D7D-B522-45F9-BDA1-12C45D357490}">
          <x15:cacheHierarchy aggregatedColumn="6"/>
        </ext>
      </extLst>
    </cacheHierarchy>
    <cacheHierarchy uniqueName="[Measures].[Sum of Saturated Fat (% Daily Value)]" caption="Sum of Saturated Fat (% Daily Value)" measure="1" displayFolder="" measureGroup="Range" count="0" hidden="1">
      <extLst>
        <ext xmlns:x15="http://schemas.microsoft.com/office/spreadsheetml/2010/11/main" uri="{B97F6D7D-B522-45F9-BDA1-12C45D357490}">
          <x15:cacheHierarchy aggregatedColumn="8"/>
        </ext>
      </extLst>
    </cacheHierarchy>
    <cacheHierarchy uniqueName="[Measures].[Sum of Sodium (% Daily Value)]" caption="Sum of Sodium (% Daily Value)" measure="1" displayFolder="" measureGroup="Range" count="0" hidden="1">
      <extLst>
        <ext xmlns:x15="http://schemas.microsoft.com/office/spreadsheetml/2010/11/main" uri="{B97F6D7D-B522-45F9-BDA1-12C45D357490}">
          <x15:cacheHierarchy aggregatedColumn="13"/>
        </ext>
      </extLst>
    </cacheHierarchy>
    <cacheHierarchy uniqueName="[Measures].[Sum of Carbohydrates (% Daily Value)]" caption="Sum of Carbohydrates (% Daily Value)" measure="1" displayFolder="" measureGroup="Range" count="0" hidden="1">
      <extLst>
        <ext xmlns:x15="http://schemas.microsoft.com/office/spreadsheetml/2010/11/main" uri="{B97F6D7D-B522-45F9-BDA1-12C45D357490}">
          <x15:cacheHierarchy aggregatedColumn="15"/>
        </ext>
      </extLst>
    </cacheHierarchy>
    <cacheHierarchy uniqueName="[Measures].[Sum of Dietary Fiber (% Daily Value)]" caption="Sum of Dietary Fiber (% Daily Value)" measure="1" displayFolder="" measureGroup="Range" count="0" hidden="1">
      <extLst>
        <ext xmlns:x15="http://schemas.microsoft.com/office/spreadsheetml/2010/11/main" uri="{B97F6D7D-B522-45F9-BDA1-12C45D357490}">
          <x15:cacheHierarchy aggregatedColumn="17"/>
        </ext>
      </extLst>
    </cacheHierarchy>
    <cacheHierarchy uniqueName="[Measures].[Sum of Vitamin A (% Daily Value)]" caption="Sum of Vitamin A (% Daily Value)" measure="1" displayFolder="" measureGroup="Range" count="0" hidden="1">
      <extLst>
        <ext xmlns:x15="http://schemas.microsoft.com/office/spreadsheetml/2010/11/main" uri="{B97F6D7D-B522-45F9-BDA1-12C45D357490}">
          <x15:cacheHierarchy aggregatedColumn="20"/>
        </ext>
      </extLst>
    </cacheHierarchy>
    <cacheHierarchy uniqueName="[Measures].[Sum of Vitamin C (% Daily Value)]" caption="Sum of Vitamin C (% Daily Value)" measure="1" displayFolder="" measureGroup="Range" count="0" hidden="1">
      <extLst>
        <ext xmlns:x15="http://schemas.microsoft.com/office/spreadsheetml/2010/11/main" uri="{B97F6D7D-B522-45F9-BDA1-12C45D357490}">
          <x15:cacheHierarchy aggregatedColumn="21"/>
        </ext>
      </extLst>
    </cacheHierarchy>
    <cacheHierarchy uniqueName="[Measures].[Sum of Calcium (% Daily Value)]" caption="Sum of Calcium (% Daily Value)" measure="1" displayFolder="" measureGroup="Range" count="0" hidden="1">
      <extLst>
        <ext xmlns:x15="http://schemas.microsoft.com/office/spreadsheetml/2010/11/main" uri="{B97F6D7D-B522-45F9-BDA1-12C45D357490}">
          <x15:cacheHierarchy aggregatedColumn="22"/>
        </ext>
      </extLst>
    </cacheHierarchy>
    <cacheHierarchy uniqueName="[Measures].[Sum of Iron (% Daily Value)]" caption="Sum of Iron (% Daily Value)" measure="1" displayFolder="" measureGroup="Range" count="0" hidden="1">
      <extLst>
        <ext xmlns:x15="http://schemas.microsoft.com/office/spreadsheetml/2010/11/main" uri="{B97F6D7D-B522-45F9-BDA1-12C45D357490}">
          <x15:cacheHierarchy aggregatedColumn="23"/>
        </ext>
      </extLst>
    </cacheHierarchy>
    <cacheHierarchy uniqueName="[Measures].[Sum of Sugars]" caption="Sum of Sugars" measure="1" displayFolder="" measureGroup="Range" count="0" hidden="1">
      <extLst>
        <ext xmlns:x15="http://schemas.microsoft.com/office/spreadsheetml/2010/11/main" uri="{B97F6D7D-B522-45F9-BDA1-12C45D357490}">
          <x15:cacheHierarchy aggregatedColumn="18"/>
        </ext>
      </extLst>
    </cacheHierarchy>
    <cacheHierarchy uniqueName="[Measures].[Sum of Protein]" caption="Sum of Protein" measure="1" displayFolder="" measureGroup="Range" count="0" hidden="1">
      <extLst>
        <ext xmlns:x15="http://schemas.microsoft.com/office/spreadsheetml/2010/11/main" uri="{B97F6D7D-B522-45F9-BDA1-12C45D357490}">
          <x15:cacheHierarchy aggregatedColumn="19"/>
        </ext>
      </extLst>
    </cacheHierarchy>
    <cacheHierarchy uniqueName="[Measures].[Sum of Calories from Fat]" caption="Sum of Calories from Fat" measure="1" displayFolder="" measureGroup="Range" count="0" hidden="1">
      <extLst>
        <ext xmlns:x15="http://schemas.microsoft.com/office/spreadsheetml/2010/11/main" uri="{B97F6D7D-B522-45F9-BDA1-12C45D357490}">
          <x15:cacheHierarchy aggregatedColumn="4"/>
        </ext>
      </extLst>
    </cacheHierarchy>
    <cacheHierarchy uniqueName="[Measures].[Sum of Vitamin A (% Daily Value) 2]" caption="Sum of Vitamin A (% Daily Value) 2" measure="1" displayFolder="" measureGroup="Range 1" count="0" hidden="1">
      <extLst>
        <ext xmlns:x15="http://schemas.microsoft.com/office/spreadsheetml/2010/11/main" uri="{B97F6D7D-B522-45F9-BDA1-12C45D357490}">
          <x15:cacheHierarchy aggregatedColumn="45"/>
        </ext>
      </extLst>
    </cacheHierarchy>
    <cacheHierarchy uniqueName="[Measures].[Sum of Calories 2]" caption="Sum of Calories 2" measure="1" displayFolder="" measureGroup="Range 1" count="0" hidden="1">
      <extLst>
        <ext xmlns:x15="http://schemas.microsoft.com/office/spreadsheetml/2010/11/main" uri="{B97F6D7D-B522-45F9-BDA1-12C45D357490}">
          <x15:cacheHierarchy aggregatedColumn="27"/>
        </ext>
      </extLst>
    </cacheHierarchy>
    <cacheHierarchy uniqueName="[Measures].[Sum of Sugars 2]" caption="Sum of Sugars 2" measure="1" displayFolder="" measureGroup="Range 1" count="0" oneField="1" hidden="1">
      <fieldsUsage count="1">
        <fieldUsage x="3"/>
      </fieldsUsage>
      <extLst>
        <ext xmlns:x15="http://schemas.microsoft.com/office/spreadsheetml/2010/11/main" uri="{B97F6D7D-B522-45F9-BDA1-12C45D357490}">
          <x15:cacheHierarchy aggregatedColumn="43"/>
        </ext>
      </extLst>
    </cacheHierarchy>
    <cacheHierarchy uniqueName="[Measures].[Sum of Sodium]" caption="Sum of Sodium" measure="1" displayFolder="" measureGroup="Range 1" count="0" oneField="1" hidden="1">
      <fieldsUsage count="1">
        <fieldUsage x="4"/>
      </fieldsUsage>
      <extLst>
        <ext xmlns:x15="http://schemas.microsoft.com/office/spreadsheetml/2010/11/main" uri="{B97F6D7D-B522-45F9-BDA1-12C45D357490}">
          <x15:cacheHierarchy aggregatedColumn="37"/>
        </ext>
      </extLst>
    </cacheHierarchy>
    <cacheHierarchy uniqueName="[Measures].[Sum of Saturated Fat (% Daily Value) 2]" caption="Sum of Saturated Fat (% Daily Value) 2" measure="1" displayFolder="" measureGroup="Range 1" count="0" hidden="1">
      <extLst>
        <ext xmlns:x15="http://schemas.microsoft.com/office/spreadsheetml/2010/11/main" uri="{B97F6D7D-B522-45F9-BDA1-12C45D357490}">
          <x15:cacheHierarchy aggregatedColumn="33"/>
        </ext>
      </extLst>
    </cacheHierarchy>
    <cacheHierarchy uniqueName="[Measures].[Sum of FatCaloriesPercent]" caption="Sum of FatCaloriesPercent" measure="1" displayFolder="" measureGroup="Range 1" count="0" hidden="1">
      <extLst>
        <ext xmlns:x15="http://schemas.microsoft.com/office/spreadsheetml/2010/11/main" uri="{B97F6D7D-B522-45F9-BDA1-12C45D357490}">
          <x15:cacheHierarchy aggregatedColumn="29"/>
        </ext>
      </extLst>
    </cacheHierarchy>
    <cacheHierarchy uniqueName="[Measures].[Sum of Calories from Fat 2]" caption="Sum of Calories from Fat 2" measure="1" displayFolder="" measureGroup="Range 1" count="0" hidden="1">
      <extLst>
        <ext xmlns:x15="http://schemas.microsoft.com/office/spreadsheetml/2010/11/main" uri="{B97F6D7D-B522-45F9-BDA1-12C45D357490}">
          <x15:cacheHierarchy aggregatedColumn="28"/>
        </ext>
      </extLst>
    </cacheHierarchy>
    <cacheHierarchy uniqueName="[Measures].[Sum of Total Fat (% Daily Value) 2]" caption="Sum of Total Fat (% Daily Value) 2" measure="1" displayFolder="" measureGroup="Range 1" count="0" hidden="1">
      <extLst>
        <ext xmlns:x15="http://schemas.microsoft.com/office/spreadsheetml/2010/11/main" uri="{B97F6D7D-B522-45F9-BDA1-12C45D357490}">
          <x15:cacheHierarchy aggregatedColumn="31"/>
        </ext>
      </extLst>
    </cacheHierarchy>
    <cacheHierarchy uniqueName="[Measures].[Sum of Total Fat]" caption="Sum of Total Fat" measure="1" displayFolder="" measureGroup="Range 1" count="0" hidden="1">
      <extLst>
        <ext xmlns:x15="http://schemas.microsoft.com/office/spreadsheetml/2010/11/main" uri="{B97F6D7D-B522-45F9-BDA1-12C45D357490}">
          <x15:cacheHierarchy aggregatedColumn="30"/>
        </ext>
      </extLst>
    </cacheHierarchy>
    <cacheHierarchy uniqueName="[Measures].[Sum of Saturated Fat]" caption="Sum of Saturated Fat" measure="1" displayFolder="" measureGroup="Range 1" count="0" hidden="1">
      <extLst>
        <ext xmlns:x15="http://schemas.microsoft.com/office/spreadsheetml/2010/11/main" uri="{B97F6D7D-B522-45F9-BDA1-12C45D357490}">
          <x15:cacheHierarchy aggregatedColumn="32"/>
        </ext>
      </extLst>
    </cacheHierarchy>
    <cacheHierarchy uniqueName="[Measures].[Sum of Protein 2]" caption="Sum of Protein 2" measure="1" displayFolder="" measureGroup="Range 1" count="0" hidden="1">
      <extLst>
        <ext xmlns:x15="http://schemas.microsoft.com/office/spreadsheetml/2010/11/main" uri="{B97F6D7D-B522-45F9-BDA1-12C45D357490}">
          <x15:cacheHierarchy aggregatedColumn="44"/>
        </ext>
      </extLst>
    </cacheHierarchy>
    <cacheHierarchy uniqueName="[Measures].[Sum of Cholesterol]" caption="Sum of Cholesterol" measure="1" displayFolder="" measureGroup="Range 1" count="0" hidden="1">
      <extLst>
        <ext xmlns:x15="http://schemas.microsoft.com/office/spreadsheetml/2010/11/main" uri="{B97F6D7D-B522-45F9-BDA1-12C45D357490}">
          <x15:cacheHierarchy aggregatedColumn="35"/>
        </ext>
      </extLst>
    </cacheHierarchy>
    <cacheHierarchy uniqueName="[Measures].[Count of HighNutrients]" caption="Count of HighNutrients" measure="1" displayFolder="" measureGroup="Range 1" count="0" hidden="1">
      <extLst>
        <ext xmlns:x15="http://schemas.microsoft.com/office/spreadsheetml/2010/11/main" uri="{B97F6D7D-B522-45F9-BDA1-12C45D357490}">
          <x15:cacheHierarchy aggregatedColumn="49"/>
        </ext>
      </extLst>
    </cacheHierarchy>
    <cacheHierarchy uniqueName="[Measures].[Sum of Carbohydrates]" caption="Sum of Carbohydrates" measure="1" displayFolder="" measureGroup="Range 1" count="0" hidden="1">
      <extLst>
        <ext xmlns:x15="http://schemas.microsoft.com/office/spreadsheetml/2010/11/main" uri="{B97F6D7D-B522-45F9-BDA1-12C45D357490}">
          <x15:cacheHierarchy aggregatedColumn="39"/>
        </ext>
      </extLst>
    </cacheHierarchy>
    <cacheHierarchy uniqueName="[Measures].[Sum of Carbohydrates (% Daily Value) 2]" caption="Sum of Carbohydrates (% Daily Value) 2" measure="1" displayFolder="" measureGroup="Range 1" count="0" hidden="1">
      <extLst>
        <ext xmlns:x15="http://schemas.microsoft.com/office/spreadsheetml/2010/11/main" uri="{B97F6D7D-B522-45F9-BDA1-12C45D357490}">
          <x15:cacheHierarchy aggregatedColumn="40"/>
        </ext>
      </extLst>
    </cacheHierarchy>
    <cacheHierarchy uniqueName="[Measures].[Count of Category]" caption="Count of Category" measure="1" displayFolder="" measureGroup="Range"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yabini Venkatesan" refreshedDate="45181.439500578701" backgroundQuery="1" createdVersion="8" refreshedVersion="8" minRefreshableVersion="3" recordCount="0" supportSubquery="1" supportAdvancedDrill="1" xr:uid="{FA073518-298E-4822-AB06-A38C24032961}">
  <cacheSource type="external" connectionId="1"/>
  <cacheFields count="3">
    <cacheField name="[Range].[Category].[Category]" caption="Category" numFmtId="0" level="1">
      <sharedItems count="1">
        <s v="Desserts"/>
      </sharedItems>
    </cacheField>
    <cacheField name="[Range].[Item].[Item]" caption="Item" numFmtId="0" hierarchy="1" level="1">
      <sharedItems count="8">
        <s v="Bacon McDouble"/>
        <s v="Cheeseburger"/>
        <s v="Daily Double"/>
        <s v="Double Cheeseburger"/>
        <s v="Hamburger"/>
        <s v="JalapeÃ±o Double"/>
        <s v="McDouble"/>
        <s v="McRib"/>
      </sharedItems>
    </cacheField>
    <cacheField name="[Measures].[Count of Category]" caption="Count of Category" numFmtId="0" hierarchy="84" level="32767"/>
  </cacheFields>
  <cacheHierarchies count="85">
    <cacheHierarchy uniqueName="[Range].[Category]" caption="Category" attribute="1" defaultMemberUniqueName="[Range].[Category].[All]" allUniqueName="[Range].[Category].[All]" dimensionUniqueName="[Range]" displayFolder="" count="2" memberValueDatatype="130" unbalanced="0">
      <fieldsUsage count="2">
        <fieldUsage x="-1"/>
        <fieldUsage x="0"/>
      </fieldsUsage>
    </cacheHierarchy>
    <cacheHierarchy uniqueName="[Range].[Item]" caption="Item" attribute="1" defaultMemberUniqueName="[Range].[Item].[All]" allUniqueName="[Range].[Item].[All]" dimensionUniqueName="[Range]" displayFolder="" count="2" memberValueDatatype="130" unbalanced="0">
      <fieldsUsage count="2">
        <fieldUsage x="-1"/>
        <fieldUsage x="1"/>
      </fieldsUsage>
    </cacheHierarchy>
    <cacheHierarchy uniqueName="[Range].[Serving Size]" caption="Serving Size" attribute="1" defaultMemberUniqueName="[Range].[Serving Size].[All]" allUniqueName="[Range].[Serving Size].[All]" dimensionUniqueName="[Range]" displayFolder="" count="0" memberValueDatatype="130" unbalanced="0"/>
    <cacheHierarchy uniqueName="[Range].[Calories]" caption="Calories" attribute="1" defaultMemberUniqueName="[Range].[Calories].[All]" allUniqueName="[Range].[Calories].[All]" dimensionUniqueName="[Range]" displayFolder="" count="0" memberValueDatatype="20" unbalanced="0"/>
    <cacheHierarchy uniqueName="[Range].[Calories from Fat]" caption="Calories from Fat" attribute="1" defaultMemberUniqueName="[Range].[Calories from Fat].[All]" allUniqueName="[Range].[Calories from Fat].[All]" dimensionUniqueName="[Range]" displayFolder="" count="0" memberValueDatatype="20" unbalanced="0"/>
    <cacheHierarchy uniqueName="[Range].[Total Fat]" caption="Total Fat" attribute="1" defaultMemberUniqueName="[Range].[Total Fat].[All]" allUniqueName="[Range].[Total Fat].[All]" dimensionUniqueName="[Range]" displayFolder="" count="0" memberValueDatatype="5" unbalanced="0"/>
    <cacheHierarchy uniqueName="[Range].[Total Fat (% Daily Value)]" caption="Total Fat (% Daily Value)" attribute="1" defaultMemberUniqueName="[Range].[Total Fat (% Daily Value)].[All]" allUniqueName="[Range].[Total Fat (% Daily Value)].[All]" dimensionUniqueName="[Range]" displayFolder="" count="0" memberValueDatatype="20" unbalanced="0"/>
    <cacheHierarchy uniqueName="[Range].[Saturated Fat]" caption="Saturated Fat" attribute="1" defaultMemberUniqueName="[Range].[Saturated Fat].[All]" allUniqueName="[Range].[Saturated Fat].[All]" dimensionUniqueName="[Range]" displayFolder="" count="0" memberValueDatatype="5" unbalanced="0"/>
    <cacheHierarchy uniqueName="[Range].[Saturated Fat (% Daily Value)]" caption="Saturated Fat (% Daily Value)" attribute="1" defaultMemberUniqueName="[Range].[Saturated Fat (% Daily Value)].[All]" allUniqueName="[Range].[Saturated Fat (% Daily Value)].[All]" dimensionUniqueName="[Range]" displayFolder="" count="0" memberValueDatatype="20" unbalanced="0"/>
    <cacheHierarchy uniqueName="[Range].[Trans Fat]" caption="Trans Fat" attribute="1" defaultMemberUniqueName="[Range].[Trans Fat].[All]" allUniqueName="[Range].[Trans Fat].[All]" dimensionUniqueName="[Range]" displayFolder="" count="0" memberValueDatatype="5" unbalanced="0"/>
    <cacheHierarchy uniqueName="[Range].[Cholesterol]" caption="Cholesterol" attribute="1" defaultMemberUniqueName="[Range].[Cholesterol].[All]" allUniqueName="[Range].[Cholesterol].[All]" dimensionUniqueName="[Range]" displayFolder="" count="0" memberValueDatatype="20" unbalanced="0"/>
    <cacheHierarchy uniqueName="[Range].[Cholesterol (% Daily Value)]" caption="Cholesterol (% Daily Value)" attribute="1" defaultMemberUniqueName="[Range].[Cholesterol (% Daily Value)].[All]" allUniqueName="[Range].[Cholesterol (% Daily Value)].[All]" dimensionUniqueName="[Range]" displayFolder="" count="0" memberValueDatatype="20" unbalanced="0"/>
    <cacheHierarchy uniqueName="[Range].[Sodium]" caption="Sodium" attribute="1" defaultMemberUniqueName="[Range].[Sodium].[All]" allUniqueName="[Range].[Sodium].[All]" dimensionUniqueName="[Range]" displayFolder="" count="0" memberValueDatatype="20" unbalanced="0"/>
    <cacheHierarchy uniqueName="[Range].[Sodium (% Daily Value)]" caption="Sodium (% Daily Value)" attribute="1" defaultMemberUniqueName="[Range].[Sodium (% Daily Value)].[All]" allUniqueName="[Range].[Sodium (% Daily Value)].[All]" dimensionUniqueName="[Range]" displayFolder="" count="0" memberValueDatatype="20" unbalanced="0"/>
    <cacheHierarchy uniqueName="[Range].[Carbohydrates]" caption="Carbohydrates" attribute="1" defaultMemberUniqueName="[Range].[Carbohydrates].[All]" allUniqueName="[Range].[Carbohydrates].[All]" dimensionUniqueName="[Range]" displayFolder="" count="0" memberValueDatatype="20" unbalanced="0"/>
    <cacheHierarchy uniqueName="[Range].[Carbohydrates (% Daily Value)]" caption="Carbohydrates (% Daily Value)" attribute="1" defaultMemberUniqueName="[Range].[Carbohydrates (% Daily Value)].[All]" allUniqueName="[Range].[Carbohydrates (% Daily Value)].[All]" dimensionUniqueName="[Range]" displayFolder="" count="0" memberValueDatatype="20" unbalanced="0"/>
    <cacheHierarchy uniqueName="[Range].[Dietary Fiber]" caption="Dietary Fiber" attribute="1" defaultMemberUniqueName="[Range].[Dietary Fiber].[All]" allUniqueName="[Range].[Dietary Fiber].[All]" dimensionUniqueName="[Range]" displayFolder="" count="0" memberValueDatatype="20" unbalanced="0"/>
    <cacheHierarchy uniqueName="[Range].[Dietary Fiber (% Daily Value)]" caption="Dietary Fiber (% Daily Value)" attribute="1" defaultMemberUniqueName="[Range].[Dietary Fiber (% Daily Value)].[All]" allUniqueName="[Range].[Dietary Fiber (% Daily Value)].[All]" dimensionUniqueName="[Range]" displayFolder="" count="0" memberValueDatatype="20" unbalanced="0"/>
    <cacheHierarchy uniqueName="[Range].[Sugars]" caption="Sugars" attribute="1" defaultMemberUniqueName="[Range].[Sugars].[All]" allUniqueName="[Range].[Sugars].[All]" dimensionUniqueName="[Range]" displayFolder="" count="0" memberValueDatatype="20" unbalanced="0"/>
    <cacheHierarchy uniqueName="[Range].[Protein]" caption="Protein" attribute="1" defaultMemberUniqueName="[Range].[Protein].[All]" allUniqueName="[Range].[Protein].[All]" dimensionUniqueName="[Range]" displayFolder="" count="0" memberValueDatatype="20" unbalanced="0"/>
    <cacheHierarchy uniqueName="[Range].[Vitamin A (% Daily Value)]" caption="Vitamin A (% Daily Value)" attribute="1" defaultMemberUniqueName="[Range].[Vitamin A (% Daily Value)].[All]" allUniqueName="[Range].[Vitamin A (% Daily Value)].[All]" dimensionUniqueName="[Range]" displayFolder="" count="0" memberValueDatatype="20" unbalanced="0"/>
    <cacheHierarchy uniqueName="[Range].[Vitamin C (% Daily Value)]" caption="Vitamin C (% Daily Value)" attribute="1" defaultMemberUniqueName="[Range].[Vitamin C (% Daily Value)].[All]" allUniqueName="[Range].[Vitamin C (% Daily Value)].[All]" dimensionUniqueName="[Range]" displayFolder="" count="0" memberValueDatatype="20" unbalanced="0"/>
    <cacheHierarchy uniqueName="[Range].[Calcium (% Daily Value)]" caption="Calcium (% Daily Value)" attribute="1" defaultMemberUniqueName="[Range].[Calcium (% Daily Value)].[All]" allUniqueName="[Range].[Calcium (% Daily Value)].[All]" dimensionUniqueName="[Range]" displayFolder="" count="0" memberValueDatatype="20" unbalanced="0"/>
    <cacheHierarchy uniqueName="[Range].[Iron (% Daily Value)]" caption="Iron (% Daily Value)" attribute="1" defaultMemberUniqueName="[Range].[Iron (% Daily Value)].[All]" allUniqueName="[Range].[Iron (% Daily Value)].[All]" dimensionUniqueName="[Range]" displayFolder="" count="0" memberValueDatatype="20" unbalanced="0"/>
    <cacheHierarchy uniqueName="[Range 1].[Category]" caption="Category" attribute="1" defaultMemberUniqueName="[Range 1].[Category].[All]" allUniqueName="[Range 1].[Category].[All]" dimensionUniqueName="[Range 1]" displayFolder="" count="0" memberValueDatatype="130" unbalanced="0"/>
    <cacheHierarchy uniqueName="[Range 1].[Item]" caption="Item" attribute="1" defaultMemberUniqueName="[Range 1].[Item].[All]" allUniqueName="[Range 1].[Item].[All]" dimensionUniqueName="[Range 1]" displayFolder="" count="0" memberValueDatatype="130" unbalanced="0"/>
    <cacheHierarchy uniqueName="[Range 1].[Serving Size]" caption="Serving Size" attribute="1" defaultMemberUniqueName="[Range 1].[Serving Size].[All]" allUniqueName="[Range 1].[Serving Size].[All]" dimensionUniqueName="[Range 1]" displayFolder="" count="0" memberValueDatatype="130" unbalanced="0"/>
    <cacheHierarchy uniqueName="[Range 1].[Calories]" caption="Calories" attribute="1" defaultMemberUniqueName="[Range 1].[Calories].[All]" allUniqueName="[Range 1].[Calories].[All]" dimensionUniqueName="[Range 1]" displayFolder="" count="0" memberValueDatatype="20" unbalanced="0"/>
    <cacheHierarchy uniqueName="[Range 1].[Calories from Fat]" caption="Calories from Fat" attribute="1" defaultMemberUniqueName="[Range 1].[Calories from Fat].[All]" allUniqueName="[Range 1].[Calories from Fat].[All]" dimensionUniqueName="[Range 1]" displayFolder="" count="0" memberValueDatatype="20" unbalanced="0"/>
    <cacheHierarchy uniqueName="[Range 1].[FatCaloriesPercent]" caption="FatCaloriesPercent" attribute="1" defaultMemberUniqueName="[Range 1].[FatCaloriesPercent].[All]" allUniqueName="[Range 1].[FatCaloriesPercent].[All]" dimensionUniqueName="[Range 1]" displayFolder="" count="0" memberValueDatatype="5" unbalanced="0"/>
    <cacheHierarchy uniqueName="[Range 1].[Total Fat]" caption="Total Fat" attribute="1" defaultMemberUniqueName="[Range 1].[Total Fat].[All]" allUniqueName="[Range 1].[Total Fat].[All]" dimensionUniqueName="[Range 1]" displayFolder="" count="0" memberValueDatatype="5" unbalanced="0"/>
    <cacheHierarchy uniqueName="[Range 1].[Total Fat (% Daily Value)]" caption="Total Fat (% Daily Value)" attribute="1" defaultMemberUniqueName="[Range 1].[Total Fat (% Daily Value)].[All]" allUniqueName="[Range 1].[Total Fat (% Daily Value)].[All]" dimensionUniqueName="[Range 1]" displayFolder="" count="0" memberValueDatatype="20" unbalanced="0"/>
    <cacheHierarchy uniqueName="[Range 1].[Saturated Fat]" caption="Saturated Fat" attribute="1" defaultMemberUniqueName="[Range 1].[Saturated Fat].[All]" allUniqueName="[Range 1].[Saturated Fat].[All]" dimensionUniqueName="[Range 1]" displayFolder="" count="0" memberValueDatatype="5" unbalanced="0"/>
    <cacheHierarchy uniqueName="[Range 1].[Saturated Fat (% Daily Value)]" caption="Saturated Fat (% Daily Value)" attribute="1" defaultMemberUniqueName="[Range 1].[Saturated Fat (% Daily Value)].[All]" allUniqueName="[Range 1].[Saturated Fat (% Daily Value)].[All]" dimensionUniqueName="[Range 1]" displayFolder="" count="0" memberValueDatatype="20" unbalanced="0"/>
    <cacheHierarchy uniqueName="[Range 1].[Trans Fat]" caption="Trans Fat" attribute="1" defaultMemberUniqueName="[Range 1].[Trans Fat].[All]" allUniqueName="[Range 1].[Trans Fat].[All]" dimensionUniqueName="[Range 1]" displayFolder="" count="0" memberValueDatatype="5" unbalanced="0"/>
    <cacheHierarchy uniqueName="[Range 1].[Cholesterol]" caption="Cholesterol" attribute="1" defaultMemberUniqueName="[Range 1].[Cholesterol].[All]" allUniqueName="[Range 1].[Cholesterol].[All]" dimensionUniqueName="[Range 1]" displayFolder="" count="0" memberValueDatatype="20" unbalanced="0"/>
    <cacheHierarchy uniqueName="[Range 1].[Cholesterol (% Daily Value)]" caption="Cholesterol (% Daily Value)" attribute="1" defaultMemberUniqueName="[Range 1].[Cholesterol (% Daily Value)].[All]" allUniqueName="[Range 1].[Cholesterol (% Daily Value)].[All]" dimensionUniqueName="[Range 1]" displayFolder="" count="0" memberValueDatatype="20" unbalanced="0"/>
    <cacheHierarchy uniqueName="[Range 1].[Sodium]" caption="Sodium" attribute="1" defaultMemberUniqueName="[Range 1].[Sodium].[All]" allUniqueName="[Range 1].[Sodium].[All]" dimensionUniqueName="[Range 1]" displayFolder="" count="0" memberValueDatatype="20" unbalanced="0"/>
    <cacheHierarchy uniqueName="[Range 1].[Sodium (% Daily Value)]" caption="Sodium (% Daily Value)" attribute="1" defaultMemberUniqueName="[Range 1].[Sodium (% Daily Value)].[All]" allUniqueName="[Range 1].[Sodium (% Daily Value)].[All]" dimensionUniqueName="[Range 1]" displayFolder="" count="0" memberValueDatatype="20" unbalanced="0"/>
    <cacheHierarchy uniqueName="[Range 1].[Carbohydrates]" caption="Carbohydrates" attribute="1" defaultMemberUniqueName="[Range 1].[Carbohydrates].[All]" allUniqueName="[Range 1].[Carbohydrates].[All]" dimensionUniqueName="[Range 1]" displayFolder="" count="0" memberValueDatatype="20" unbalanced="0"/>
    <cacheHierarchy uniqueName="[Range 1].[Carbohydrates (% Daily Value)]" caption="Carbohydrates (% Daily Value)" attribute="1" defaultMemberUniqueName="[Range 1].[Carbohydrates (% Daily Value)].[All]" allUniqueName="[Range 1].[Carbohydrates (% Daily Value)].[All]" dimensionUniqueName="[Range 1]" displayFolder="" count="0" memberValueDatatype="20" unbalanced="0"/>
    <cacheHierarchy uniqueName="[Range 1].[Dietary Fiber]" caption="Dietary Fiber" attribute="1" defaultMemberUniqueName="[Range 1].[Dietary Fiber].[All]" allUniqueName="[Range 1].[Dietary Fiber].[All]" dimensionUniqueName="[Range 1]" displayFolder="" count="0" memberValueDatatype="20" unbalanced="0"/>
    <cacheHierarchy uniqueName="[Range 1].[Dietary Fiber (% Daily Value)]" caption="Dietary Fiber (% Daily Value)" attribute="1" defaultMemberUniqueName="[Range 1].[Dietary Fiber (% Daily Value)].[All]" allUniqueName="[Range 1].[Dietary Fiber (% Daily Value)].[All]" dimensionUniqueName="[Range 1]" displayFolder="" count="0" memberValueDatatype="20" unbalanced="0"/>
    <cacheHierarchy uniqueName="[Range 1].[Sugars]" caption="Sugars" attribute="1" defaultMemberUniqueName="[Range 1].[Sugars].[All]" allUniqueName="[Range 1].[Sugars].[All]" dimensionUniqueName="[Range 1]" displayFolder="" count="0" memberValueDatatype="20" unbalanced="0"/>
    <cacheHierarchy uniqueName="[Range 1].[Protein]" caption="Protein" attribute="1" defaultMemberUniqueName="[Range 1].[Protein].[All]" allUniqueName="[Range 1].[Protein].[All]" dimensionUniqueName="[Range 1]" displayFolder="" count="0" memberValueDatatype="20" unbalanced="0"/>
    <cacheHierarchy uniqueName="[Range 1].[Vitamin A (% Daily Value)]" caption="Vitamin A (% Daily Value)" attribute="1" defaultMemberUniqueName="[Range 1].[Vitamin A (% Daily Value)].[All]" allUniqueName="[Range 1].[Vitamin A (% Daily Value)].[All]" dimensionUniqueName="[Range 1]" displayFolder="" count="0" memberValueDatatype="20" unbalanced="0"/>
    <cacheHierarchy uniqueName="[Range 1].[Vitamin C (% Daily Value)]" caption="Vitamin C (% Daily Value)" attribute="1" defaultMemberUniqueName="[Range 1].[Vitamin C (% Daily Value)].[All]" allUniqueName="[Range 1].[Vitamin C (% Daily Value)].[All]" dimensionUniqueName="[Range 1]" displayFolder="" count="0" memberValueDatatype="20" unbalanced="0"/>
    <cacheHierarchy uniqueName="[Range 1].[Calcium (% Daily Value)]" caption="Calcium (% Daily Value)" attribute="1" defaultMemberUniqueName="[Range 1].[Calcium (% Daily Value)].[All]" allUniqueName="[Range 1].[Calcium (% Daily Value)].[All]" dimensionUniqueName="[Range 1]" displayFolder="" count="0" memberValueDatatype="20" unbalanced="0"/>
    <cacheHierarchy uniqueName="[Range 1].[Iron (% Daily Value)]" caption="Iron (% Daily Value)" attribute="1" defaultMemberUniqueName="[Range 1].[Iron (% Daily Value)].[All]" allUniqueName="[Range 1].[Iron (% Daily Value)].[All]" dimensionUniqueName="[Range 1]" displayFolder="" count="0" memberValueDatatype="20" unbalanced="0"/>
    <cacheHierarchy uniqueName="[Range 1].[HighNutrients]" caption="HighNutrients" attribute="1" defaultMemberUniqueName="[Range 1].[HighNutrients].[All]" allUniqueName="[Range 1].[HighNutrients].[All]" dimensionUniqueName="[Range 1]" displayFolder="" count="0" memberValueDatatype="13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alories]" caption="Sum of Calories" measure="1" displayFolder="" measureGroup="Range" count="0" hidden="1">
      <extLst>
        <ext xmlns:x15="http://schemas.microsoft.com/office/spreadsheetml/2010/11/main" uri="{B97F6D7D-B522-45F9-BDA1-12C45D357490}">
          <x15:cacheHierarchy aggregatedColumn="3"/>
        </ext>
      </extLst>
    </cacheHierarchy>
    <cacheHierarchy uniqueName="[Measures].[Sum of Cholesterol (% Daily Value)]" caption="Sum of Cholesterol (% Daily Value)" measure="1" displayFolder="" measureGroup="Range" count="0" hidden="1">
      <extLst>
        <ext xmlns:x15="http://schemas.microsoft.com/office/spreadsheetml/2010/11/main" uri="{B97F6D7D-B522-45F9-BDA1-12C45D357490}">
          <x15:cacheHierarchy aggregatedColumn="11"/>
        </ext>
      </extLst>
    </cacheHierarchy>
    <cacheHierarchy uniqueName="[Measures].[Average of Cholesterol (% Daily Value)]" caption="Average of Cholesterol (% Daily Value)" measure="1" displayFolder="" measureGroup="Range" count="0" hidden="1">
      <extLst>
        <ext xmlns:x15="http://schemas.microsoft.com/office/spreadsheetml/2010/11/main" uri="{B97F6D7D-B522-45F9-BDA1-12C45D357490}">
          <x15:cacheHierarchy aggregatedColumn="11"/>
        </ext>
      </extLst>
    </cacheHierarchy>
    <cacheHierarchy uniqueName="[Measures].[Sum of Total Fat (% Daily Value)]" caption="Sum of Total Fat (% Daily Value)" measure="1" displayFolder="" measureGroup="Range" count="0" hidden="1">
      <extLst>
        <ext xmlns:x15="http://schemas.microsoft.com/office/spreadsheetml/2010/11/main" uri="{B97F6D7D-B522-45F9-BDA1-12C45D357490}">
          <x15:cacheHierarchy aggregatedColumn="6"/>
        </ext>
      </extLst>
    </cacheHierarchy>
    <cacheHierarchy uniqueName="[Measures].[Average of Total Fat (% Daily Value)]" caption="Average of Total Fat (% Daily Value)" measure="1" displayFolder="" measureGroup="Range" count="0" hidden="1">
      <extLst>
        <ext xmlns:x15="http://schemas.microsoft.com/office/spreadsheetml/2010/11/main" uri="{B97F6D7D-B522-45F9-BDA1-12C45D357490}">
          <x15:cacheHierarchy aggregatedColumn="6"/>
        </ext>
      </extLst>
    </cacheHierarchy>
    <cacheHierarchy uniqueName="[Measures].[Sum of Saturated Fat (% Daily Value)]" caption="Sum of Saturated Fat (% Daily Value)" measure="1" displayFolder="" measureGroup="Range" count="0" hidden="1">
      <extLst>
        <ext xmlns:x15="http://schemas.microsoft.com/office/spreadsheetml/2010/11/main" uri="{B97F6D7D-B522-45F9-BDA1-12C45D357490}">
          <x15:cacheHierarchy aggregatedColumn="8"/>
        </ext>
      </extLst>
    </cacheHierarchy>
    <cacheHierarchy uniqueName="[Measures].[Sum of Sodium (% Daily Value)]" caption="Sum of Sodium (% Daily Value)" measure="1" displayFolder="" measureGroup="Range" count="0" hidden="1">
      <extLst>
        <ext xmlns:x15="http://schemas.microsoft.com/office/spreadsheetml/2010/11/main" uri="{B97F6D7D-B522-45F9-BDA1-12C45D357490}">
          <x15:cacheHierarchy aggregatedColumn="13"/>
        </ext>
      </extLst>
    </cacheHierarchy>
    <cacheHierarchy uniqueName="[Measures].[Sum of Carbohydrates (% Daily Value)]" caption="Sum of Carbohydrates (% Daily Value)" measure="1" displayFolder="" measureGroup="Range" count="0" hidden="1">
      <extLst>
        <ext xmlns:x15="http://schemas.microsoft.com/office/spreadsheetml/2010/11/main" uri="{B97F6D7D-B522-45F9-BDA1-12C45D357490}">
          <x15:cacheHierarchy aggregatedColumn="15"/>
        </ext>
      </extLst>
    </cacheHierarchy>
    <cacheHierarchy uniqueName="[Measures].[Sum of Dietary Fiber (% Daily Value)]" caption="Sum of Dietary Fiber (% Daily Value)" measure="1" displayFolder="" measureGroup="Range" count="0" hidden="1">
      <extLst>
        <ext xmlns:x15="http://schemas.microsoft.com/office/spreadsheetml/2010/11/main" uri="{B97F6D7D-B522-45F9-BDA1-12C45D357490}">
          <x15:cacheHierarchy aggregatedColumn="17"/>
        </ext>
      </extLst>
    </cacheHierarchy>
    <cacheHierarchy uniqueName="[Measures].[Sum of Vitamin A (% Daily Value)]" caption="Sum of Vitamin A (% Daily Value)" measure="1" displayFolder="" measureGroup="Range" count="0" hidden="1">
      <extLst>
        <ext xmlns:x15="http://schemas.microsoft.com/office/spreadsheetml/2010/11/main" uri="{B97F6D7D-B522-45F9-BDA1-12C45D357490}">
          <x15:cacheHierarchy aggregatedColumn="20"/>
        </ext>
      </extLst>
    </cacheHierarchy>
    <cacheHierarchy uniqueName="[Measures].[Sum of Vitamin C (% Daily Value)]" caption="Sum of Vitamin C (% Daily Value)" measure="1" displayFolder="" measureGroup="Range" count="0" hidden="1">
      <extLst>
        <ext xmlns:x15="http://schemas.microsoft.com/office/spreadsheetml/2010/11/main" uri="{B97F6D7D-B522-45F9-BDA1-12C45D357490}">
          <x15:cacheHierarchy aggregatedColumn="21"/>
        </ext>
      </extLst>
    </cacheHierarchy>
    <cacheHierarchy uniqueName="[Measures].[Sum of Calcium (% Daily Value)]" caption="Sum of Calcium (% Daily Value)" measure="1" displayFolder="" measureGroup="Range" count="0" hidden="1">
      <extLst>
        <ext xmlns:x15="http://schemas.microsoft.com/office/spreadsheetml/2010/11/main" uri="{B97F6D7D-B522-45F9-BDA1-12C45D357490}">
          <x15:cacheHierarchy aggregatedColumn="22"/>
        </ext>
      </extLst>
    </cacheHierarchy>
    <cacheHierarchy uniqueName="[Measures].[Sum of Iron (% Daily Value)]" caption="Sum of Iron (% Daily Value)" measure="1" displayFolder="" measureGroup="Range" count="0" hidden="1">
      <extLst>
        <ext xmlns:x15="http://schemas.microsoft.com/office/spreadsheetml/2010/11/main" uri="{B97F6D7D-B522-45F9-BDA1-12C45D357490}">
          <x15:cacheHierarchy aggregatedColumn="23"/>
        </ext>
      </extLst>
    </cacheHierarchy>
    <cacheHierarchy uniqueName="[Measures].[Sum of Sugars]" caption="Sum of Sugars" measure="1" displayFolder="" measureGroup="Range" count="0" hidden="1">
      <extLst>
        <ext xmlns:x15="http://schemas.microsoft.com/office/spreadsheetml/2010/11/main" uri="{B97F6D7D-B522-45F9-BDA1-12C45D357490}">
          <x15:cacheHierarchy aggregatedColumn="18"/>
        </ext>
      </extLst>
    </cacheHierarchy>
    <cacheHierarchy uniqueName="[Measures].[Sum of Protein]" caption="Sum of Protein" measure="1" displayFolder="" measureGroup="Range" count="0" hidden="1">
      <extLst>
        <ext xmlns:x15="http://schemas.microsoft.com/office/spreadsheetml/2010/11/main" uri="{B97F6D7D-B522-45F9-BDA1-12C45D357490}">
          <x15:cacheHierarchy aggregatedColumn="19"/>
        </ext>
      </extLst>
    </cacheHierarchy>
    <cacheHierarchy uniqueName="[Measures].[Sum of Calories from Fat]" caption="Sum of Calories from Fat" measure="1" displayFolder="" measureGroup="Range" count="0" hidden="1">
      <extLst>
        <ext xmlns:x15="http://schemas.microsoft.com/office/spreadsheetml/2010/11/main" uri="{B97F6D7D-B522-45F9-BDA1-12C45D357490}">
          <x15:cacheHierarchy aggregatedColumn="4"/>
        </ext>
      </extLst>
    </cacheHierarchy>
    <cacheHierarchy uniqueName="[Measures].[Sum of Vitamin A (% Daily Value) 2]" caption="Sum of Vitamin A (% Daily Value) 2" measure="1" displayFolder="" measureGroup="Range 1" count="0" hidden="1">
      <extLst>
        <ext xmlns:x15="http://schemas.microsoft.com/office/spreadsheetml/2010/11/main" uri="{B97F6D7D-B522-45F9-BDA1-12C45D357490}">
          <x15:cacheHierarchy aggregatedColumn="45"/>
        </ext>
      </extLst>
    </cacheHierarchy>
    <cacheHierarchy uniqueName="[Measures].[Sum of Calories 2]" caption="Sum of Calories 2" measure="1" displayFolder="" measureGroup="Range 1" count="0" hidden="1">
      <extLst>
        <ext xmlns:x15="http://schemas.microsoft.com/office/spreadsheetml/2010/11/main" uri="{B97F6D7D-B522-45F9-BDA1-12C45D357490}">
          <x15:cacheHierarchy aggregatedColumn="27"/>
        </ext>
      </extLst>
    </cacheHierarchy>
    <cacheHierarchy uniqueName="[Measures].[Sum of Sugars 2]" caption="Sum of Sugars 2" measure="1" displayFolder="" measureGroup="Range 1" count="0" hidden="1">
      <extLst>
        <ext xmlns:x15="http://schemas.microsoft.com/office/spreadsheetml/2010/11/main" uri="{B97F6D7D-B522-45F9-BDA1-12C45D357490}">
          <x15:cacheHierarchy aggregatedColumn="43"/>
        </ext>
      </extLst>
    </cacheHierarchy>
    <cacheHierarchy uniqueName="[Measures].[Sum of Sodium]" caption="Sum of Sodium" measure="1" displayFolder="" measureGroup="Range 1" count="0" hidden="1">
      <extLst>
        <ext xmlns:x15="http://schemas.microsoft.com/office/spreadsheetml/2010/11/main" uri="{B97F6D7D-B522-45F9-BDA1-12C45D357490}">
          <x15:cacheHierarchy aggregatedColumn="37"/>
        </ext>
      </extLst>
    </cacheHierarchy>
    <cacheHierarchy uniqueName="[Measures].[Sum of Saturated Fat (% Daily Value) 2]" caption="Sum of Saturated Fat (% Daily Value) 2" measure="1" displayFolder="" measureGroup="Range 1" count="0" hidden="1">
      <extLst>
        <ext xmlns:x15="http://schemas.microsoft.com/office/spreadsheetml/2010/11/main" uri="{B97F6D7D-B522-45F9-BDA1-12C45D357490}">
          <x15:cacheHierarchy aggregatedColumn="33"/>
        </ext>
      </extLst>
    </cacheHierarchy>
    <cacheHierarchy uniqueName="[Measures].[Sum of FatCaloriesPercent]" caption="Sum of FatCaloriesPercent" measure="1" displayFolder="" measureGroup="Range 1" count="0" hidden="1">
      <extLst>
        <ext xmlns:x15="http://schemas.microsoft.com/office/spreadsheetml/2010/11/main" uri="{B97F6D7D-B522-45F9-BDA1-12C45D357490}">
          <x15:cacheHierarchy aggregatedColumn="29"/>
        </ext>
      </extLst>
    </cacheHierarchy>
    <cacheHierarchy uniqueName="[Measures].[Sum of Calories from Fat 2]" caption="Sum of Calories from Fat 2" measure="1" displayFolder="" measureGroup="Range 1" count="0" hidden="1">
      <extLst>
        <ext xmlns:x15="http://schemas.microsoft.com/office/spreadsheetml/2010/11/main" uri="{B97F6D7D-B522-45F9-BDA1-12C45D357490}">
          <x15:cacheHierarchy aggregatedColumn="28"/>
        </ext>
      </extLst>
    </cacheHierarchy>
    <cacheHierarchy uniqueName="[Measures].[Sum of Total Fat (% Daily Value) 2]" caption="Sum of Total Fat (% Daily Value) 2" measure="1" displayFolder="" measureGroup="Range 1" count="0" hidden="1">
      <extLst>
        <ext xmlns:x15="http://schemas.microsoft.com/office/spreadsheetml/2010/11/main" uri="{B97F6D7D-B522-45F9-BDA1-12C45D357490}">
          <x15:cacheHierarchy aggregatedColumn="31"/>
        </ext>
      </extLst>
    </cacheHierarchy>
    <cacheHierarchy uniqueName="[Measures].[Sum of Total Fat]" caption="Sum of Total Fat" measure="1" displayFolder="" measureGroup="Range 1" count="0" hidden="1">
      <extLst>
        <ext xmlns:x15="http://schemas.microsoft.com/office/spreadsheetml/2010/11/main" uri="{B97F6D7D-B522-45F9-BDA1-12C45D357490}">
          <x15:cacheHierarchy aggregatedColumn="30"/>
        </ext>
      </extLst>
    </cacheHierarchy>
    <cacheHierarchy uniqueName="[Measures].[Sum of Saturated Fat]" caption="Sum of Saturated Fat" measure="1" displayFolder="" measureGroup="Range 1" count="0" hidden="1">
      <extLst>
        <ext xmlns:x15="http://schemas.microsoft.com/office/spreadsheetml/2010/11/main" uri="{B97F6D7D-B522-45F9-BDA1-12C45D357490}">
          <x15:cacheHierarchy aggregatedColumn="32"/>
        </ext>
      </extLst>
    </cacheHierarchy>
    <cacheHierarchy uniqueName="[Measures].[Sum of Protein 2]" caption="Sum of Protein 2" measure="1" displayFolder="" measureGroup="Range 1" count="0" hidden="1">
      <extLst>
        <ext xmlns:x15="http://schemas.microsoft.com/office/spreadsheetml/2010/11/main" uri="{B97F6D7D-B522-45F9-BDA1-12C45D357490}">
          <x15:cacheHierarchy aggregatedColumn="44"/>
        </ext>
      </extLst>
    </cacheHierarchy>
    <cacheHierarchy uniqueName="[Measures].[Sum of Cholesterol]" caption="Sum of Cholesterol" measure="1" displayFolder="" measureGroup="Range 1" count="0" hidden="1">
      <extLst>
        <ext xmlns:x15="http://schemas.microsoft.com/office/spreadsheetml/2010/11/main" uri="{B97F6D7D-B522-45F9-BDA1-12C45D357490}">
          <x15:cacheHierarchy aggregatedColumn="35"/>
        </ext>
      </extLst>
    </cacheHierarchy>
    <cacheHierarchy uniqueName="[Measures].[Count of HighNutrients]" caption="Count of HighNutrients" measure="1" displayFolder="" measureGroup="Range 1" count="0" hidden="1">
      <extLst>
        <ext xmlns:x15="http://schemas.microsoft.com/office/spreadsheetml/2010/11/main" uri="{B97F6D7D-B522-45F9-BDA1-12C45D357490}">
          <x15:cacheHierarchy aggregatedColumn="49"/>
        </ext>
      </extLst>
    </cacheHierarchy>
    <cacheHierarchy uniqueName="[Measures].[Sum of Carbohydrates]" caption="Sum of Carbohydrates" measure="1" displayFolder="" measureGroup="Range 1" count="0" hidden="1">
      <extLst>
        <ext xmlns:x15="http://schemas.microsoft.com/office/spreadsheetml/2010/11/main" uri="{B97F6D7D-B522-45F9-BDA1-12C45D357490}">
          <x15:cacheHierarchy aggregatedColumn="39"/>
        </ext>
      </extLst>
    </cacheHierarchy>
    <cacheHierarchy uniqueName="[Measures].[Sum of Carbohydrates (% Daily Value) 2]" caption="Sum of Carbohydrates (% Daily Value) 2" measure="1" displayFolder="" measureGroup="Range 1" count="0" hidden="1">
      <extLst>
        <ext xmlns:x15="http://schemas.microsoft.com/office/spreadsheetml/2010/11/main" uri="{B97F6D7D-B522-45F9-BDA1-12C45D357490}">
          <x15:cacheHierarchy aggregatedColumn="40"/>
        </ext>
      </extLst>
    </cacheHierarchy>
    <cacheHierarchy uniqueName="[Measures].[Count of Category]" caption="Count of Category" measure="1" displayFolder="" measureGroup="Range" count="0" oneField="1" hidden="1">
      <fieldsUsage count="1">
        <fieldUsage x="2"/>
      </fieldsUsage>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yabini Venkatesan" refreshedDate="45181.458927430554" backgroundQuery="1" createdVersion="8" refreshedVersion="8" minRefreshableVersion="3" recordCount="0" supportSubquery="1" supportAdvancedDrill="1" xr:uid="{E57563D6-7746-4FC1-B4D2-D5DD79273EA8}">
  <cacheSource type="external" connectionId="1"/>
  <cacheFields count="5">
    <cacheField name="[Range 1].[HighNutrients].[HighNutrients]" caption="HighNutrients" numFmtId="0" hierarchy="49" level="1">
      <sharedItems count="1">
        <s v="Vitamin A"/>
      </sharedItems>
    </cacheField>
    <cacheField name="[Range 1].[Category].[Category]" caption="Category" numFmtId="0" hierarchy="24" level="1">
      <sharedItems count="6">
        <s v="Beef_Pork"/>
        <s v="Breakfast"/>
        <s v="Chicken_Fish"/>
        <s v="Beverages" u="1"/>
        <s v="Desserts" u="1"/>
        <s v="Salads" u="1"/>
      </sharedItems>
    </cacheField>
    <cacheField name="[Range 1].[Item].[Item]" caption="Item" numFmtId="0" hierarchy="25" level="1">
      <sharedItems count="260">
        <s v="Double Quarter Pounder with Cheese"/>
        <s v="Bacon, Egg &amp; Cheese Biscuit (Large Biscuit)"/>
        <s v="Big Breakfast (Large Biscuit)"/>
        <s v="Big Breakfast (Regular Biscuit)"/>
        <s v="Big Breakfast with Egg Whites (Large Biscuit)"/>
        <s v="Big Breakfast with Egg Whites (Regular Biscuit)"/>
        <s v="Hash Brown"/>
        <s v="Sausage Biscuit (Large Biscuit)"/>
        <s v="Sausage Biscuit (Regular Biscuit)"/>
        <s v="Sausage Biscuit with Egg (Large Biscuit)"/>
        <s v="Sausage Biscuit with Egg (Regular Biscuit)"/>
        <s v="Sausage Biscuit with Egg Whites (Large Biscuit)"/>
        <s v="Sausage Biscuit with Egg Whites (Regular Biscuit)"/>
        <s v="Sausage McMuffin"/>
        <s v="Sausage McMuffin with Egg"/>
        <s v="Sausage McMuffin with Egg Whites"/>
        <s v="Sausage, Egg &amp; Cheese McGriddles"/>
        <s v="Steak &amp; Egg Biscuit (Regular Biscuit)"/>
        <s v="Chicken McNuggets (10 piece)"/>
        <s v="Chicken McNuggets (20 piece)"/>
        <s v="Chicken McNuggets (4 piece)"/>
        <s v="Chicken McNuggets (40 piece)"/>
        <s v="Chicken McNuggets (6 piece)"/>
        <s v="Bacon Clubhouse Burger" u="1"/>
        <s v="Bacon McDouble" u="1"/>
        <s v="Big Mac" u="1"/>
        <s v="Cheeseburger" u="1"/>
        <s v="Daily Double" u="1"/>
        <s v="Double Cheeseburger" u="1"/>
        <s v="Hamburger" u="1"/>
        <s v="JalapeÃ±o Double" u="1"/>
        <s v="McDouble" u="1"/>
        <s v="McRib" u="1"/>
        <s v="Quarter Pounder Deluxe" u="1"/>
        <s v="Quarter Pounder with Bacon &amp; Cheese" u="1"/>
        <s v="Quarter Pounder with Bacon Habanero Ranch" u="1"/>
        <s v="Quarter Pounder with Cheese" u="1"/>
        <s v="1% Low Fat Milk Jug" u="1"/>
        <s v="Coca-Cola Classic (Child)" u="1"/>
        <s v="Coca-Cola Classic (Large)" u="1"/>
        <s v="Coca-Cola Classic (Medium)" u="1"/>
        <s v="Coca-Cola Classic (Small)" u="1"/>
        <s v="Dasani Water Bottle" u="1"/>
        <s v="Diet Coke (Child)" u="1"/>
        <s v="Diet Coke (Large)" u="1"/>
        <s v="Diet Coke (Medium)" u="1"/>
        <s v="Diet Coke (Small)" u="1"/>
        <s v="Diet Dr Pepper (Child)" u="1"/>
        <s v="Diet Dr Pepper (Large)" u="1"/>
        <s v="Diet Dr Pepper (Medium)" u="1"/>
        <s v="Diet Dr Pepper (Small)" u="1"/>
        <s v="Dr Pepper (Child)" u="1"/>
        <s v="Dr Pepper (Large)" u="1"/>
        <s v="Dr Pepper (Medium)" u="1"/>
        <s v="Dr Pepper (Small)" u="1"/>
        <s v="Fat Free Chocolate Milk Jug" u="1"/>
        <s v="Minute Maid 100% Apple Juice Box" u="1"/>
        <s v="Minute Maid Orange Juice (Large)" u="1"/>
        <s v="Minute Maid Orange Juice (Medium)" u="1"/>
        <s v="Minute Maid Orange Juice (Small)" u="1"/>
        <s v="Sprite (Child)" u="1"/>
        <s v="Sprite (Large)" u="1"/>
        <s v="Sprite (Medium)" u="1"/>
        <s v="Sprite (Small)" u="1"/>
        <s v="Bacon, Egg &amp; Cheese Bagel" u="1"/>
        <s v="Bacon, Egg &amp; Cheese Bagel with Egg Whites" u="1"/>
        <s v="Bacon, Egg &amp; Cheese Biscuit (Regular Biscuit)" u="1"/>
        <s v="Bacon, Egg &amp; Cheese Biscuit with Egg Whites (Large Biscuit)" u="1"/>
        <s v="Bacon, Egg &amp; Cheese Biscuit with Egg Whites (Regular Biscuit)" u="1"/>
        <s v="Bacon, Egg &amp; Cheese McGriddles" u="1"/>
        <s v="Bacon, Egg &amp; Cheese McGriddles with Egg Whites" u="1"/>
        <s v="Big Breakfast with Hotcakes (Large Biscuit)" u="1"/>
        <s v="Big Breakfast with Hotcakes (Regular Biscuit)" u="1"/>
        <s v="Big Breakfast with Hotcakes and Egg Whites (Large Biscuit)" u="1"/>
        <s v="Big Breakfast with Hotcakes and Egg Whites (Regular Biscuit)" u="1"/>
        <s v="Cinnamon Melts" u="1"/>
        <s v="Egg McMuffin" u="1"/>
        <s v="Egg White Delight" u="1"/>
        <s v="Fruit &amp; Maple Oatmeal" u="1"/>
        <s v="Fruit &amp; Maple Oatmeal without Brown Sugar" u="1"/>
        <s v="Hotcakes" u="1"/>
        <s v="Hotcakes and Sausage" u="1"/>
        <s v="Sausage Burrito" u="1"/>
        <s v="Sausage McGriddles" u="1"/>
        <s v="Sausage, Egg &amp; Cheese McGriddles with Egg Whites" u="1"/>
        <s v="Southern Style Chicken Biscuit (Large Biscuit)" u="1"/>
        <s v="Southern Style Chicken Biscuit (Regular Biscuit)" u="1"/>
        <s v="Steak &amp; Egg McMuffin" u="1"/>
        <s v="Steak, Egg &amp; Cheese Bagel" u="1"/>
        <s v="Bacon Buffalo Ranch McChicken" u="1"/>
        <s v="Bacon Cheddar McChicken" u="1"/>
        <s v="Bacon Clubhouse Crispy Chicken Sandwich" u="1"/>
        <s v="Bacon Clubhouse Grilled Chicken Sandwich" u="1"/>
        <s v="Buffalo Ranch McChicken" u="1"/>
        <s v="Filet-O-Fish" u="1"/>
        <s v="McChicken" u="1"/>
        <s v="Premium Crispy Chicken Classic Sandwich" u="1"/>
        <s v="Premium Crispy Chicken Club Sandwich" u="1"/>
        <s v="Premium Crispy Chicken Ranch BLT Sandwich" u="1"/>
        <s v="Premium Grilled Chicken Classic Sandwich" u="1"/>
        <s v="Premium Grilled Chicken Club Sandwich" u="1"/>
        <s v="Premium Grilled Chicken Ranch BLT Sandwich" u="1"/>
        <s v="Premium McWrap Chicken &amp; Bacon (Crispy Chicken)" u="1"/>
        <s v="Premium McWrap Chicken &amp; Bacon (Grilled Chicken)" u="1"/>
        <s v="Premium McWrap Chicken &amp; Ranch (Crispy Chicken)" u="1"/>
        <s v="Premium McWrap Chicken &amp; Ranch (Grilled Chicken)" u="1"/>
        <s v="Premium McWrap Chicken Sweet Chili (Crispy Chicken)" u="1"/>
        <s v="Premium McWrap Chicken Sweet Chili (Grilled Chicken)" u="1"/>
        <s v="Premium McWrap Southwest Chicken (Crispy Chicken)" u="1"/>
        <s v="Premium McWrap Southwest Chicken (Grilled Chicken)" u="1"/>
        <s v="Southern Style Crispy Chicken Sandwich" u="1"/>
        <s v="Caramel Iced Coffee (Large)" u="1"/>
        <s v="Caramel Iced Coffee (Medium)" u="1"/>
        <s v="Caramel Iced Coffee (Small)" u="1"/>
        <s v="Caramel Latte (Large)" u="1"/>
        <s v="Caramel Latte (Medium)" u="1"/>
        <s v="Caramel Latte (Small)" u="1"/>
        <s v="Caramel Mocha (Large)" u="1"/>
        <s v="Caramel Mocha (Medium)" u="1"/>
        <s v="Caramel Mocha (Small)" u="1"/>
        <s v="Coffee (Large)" u="1"/>
        <s v="Coffee (Medium)" u="1"/>
        <s v="Coffee (Small)" u="1"/>
        <s v="FrappÃ© Caramel (Large)" u="1"/>
        <s v="FrappÃ© Caramel (Medium)" u="1"/>
        <s v="FrappÃ© Caramel (Small)" u="1"/>
        <s v="FrappÃ© Chocolate Chip (Large)" u="1"/>
        <s v="FrappÃ© Chocolate Chip (Medium)" u="1"/>
        <s v="FrappÃ© Chocolate Chip (Small)" u="1"/>
        <s v="FrappÃ© Mocha (Large)" u="1"/>
        <s v="FrappÃ© Mocha (Medium)" u="1"/>
        <s v="FrappÃ© Mocha (Small)" u="1"/>
        <s v="French Vanilla Iced Coffee (Large)" u="1"/>
        <s v="French Vanilla Iced Coffee (Medium)" u="1"/>
        <s v="French Vanilla Iced Coffee (Small)" u="1"/>
        <s v="French Vanilla Latte (Large)" u="1"/>
        <s v="French Vanilla Latte (Medium)" u="1"/>
        <s v="French Vanilla Latte (Small)" u="1"/>
        <s v="Hazelnut Iced Coffee (Large)" u="1"/>
        <s v="Hazelnut Iced Coffee (Medium)" u="1"/>
        <s v="Hazelnut Iced Coffee (Small)" u="1"/>
        <s v="Hazelnut Latte (Large)" u="1"/>
        <s v="Hazelnut Latte (Medium)" u="1"/>
        <s v="Hazelnut Latte (Small)" u="1"/>
        <s v="Hot Chocolate (Large)" u="1"/>
        <s v="Hot Chocolate (Medium)" u="1"/>
        <s v="Hot Chocolate (Small)" u="1"/>
        <s v="Hot Chocolate with Nonfat Milk (Large)" u="1"/>
        <s v="Hot Chocolate with Nonfat Milk (Medium)" u="1"/>
        <s v="Hot Chocolate with Nonfat Milk (Small)" u="1"/>
        <s v="Iced Caramel Mocha (Large)" u="1"/>
        <s v="Iced Caramel Mocha (Medium)" u="1"/>
        <s v="Iced Caramel Mocha (Small)" u="1"/>
        <s v="Iced Coffee with Sugar Free French Vanilla Syrup (Large)" u="1"/>
        <s v="Iced Coffee with Sugar Free French Vanilla Syrup (Medium)" u="1"/>
        <s v="Iced Coffee with Sugar Free French Vanilla Syrup (Small)" u="1"/>
        <s v="Iced Mocha (Large)" u="1"/>
        <s v="Iced Mocha (Medium)" u="1"/>
        <s v="Iced Mocha (Small)" u="1"/>
        <s v="Iced Mocha with Nonfat Milk (Large)" u="1"/>
        <s v="Iced Mocha with Nonfat Milk (Medium)" u="1"/>
        <s v="Iced Mocha with Nonfat Milk (Small)" u="1"/>
        <s v="Iced Nonfat Caramel Mocha (Large)" u="1"/>
        <s v="Iced Nonfat Caramel Mocha (Medium)" u="1"/>
        <s v="Iced Nonfat Caramel Mocha (Small)" u="1"/>
        <s v="Iced Tea (Child)" u="1"/>
        <s v="Iced Tea (Large)" u="1"/>
        <s v="Iced Tea (Medium)" u="1"/>
        <s v="Iced Tea (Small)" u="1"/>
        <s v="Latte (Large)" u="1"/>
        <s v="Latte (Medium)" u="1"/>
        <s v="Latte (Small)" u="1"/>
        <s v="Latte with Sugar Free French Vanilla Syrup (Large)" u="1"/>
        <s v="Latte with Sugar Free French Vanilla Syrup (Medium)" u="1"/>
        <s v="Latte with Sugar Free French Vanilla Syrup (Small)" u="1"/>
        <s v="Mocha (Large)" u="1"/>
        <s v="Mocha (Medium)" u="1"/>
        <s v="Mocha (Small)" u="1"/>
        <s v="Mocha with Nonfat Milk (Large)" u="1"/>
        <s v="Mocha with Nonfat Milk (Medium)" u="1"/>
        <s v="Mocha with Nonfat Milk (Small)" u="1"/>
        <s v="Nonfat Caramel Latte (Large)" u="1"/>
        <s v="Nonfat Caramel Latte (Medium)" u="1"/>
        <s v="Nonfat Caramel Latte (Small)" u="1"/>
        <s v="Nonfat Caramel Mocha (Large)" u="1"/>
        <s v="Nonfat Caramel Mocha (Medium)" u="1"/>
        <s v="Nonfat Caramel Mocha (Small)" u="1"/>
        <s v="Nonfat French Vanilla Latte (Large)" u="1"/>
        <s v="Nonfat French Vanilla Latte (Medium)" u="1"/>
        <s v="Nonfat French Vanilla Latte (Small)" u="1"/>
        <s v="Nonfat Hazelnut Latte (Large)" u="1"/>
        <s v="Nonfat Hazelnut Latte (Medium)" u="1"/>
        <s v="Nonfat Hazelnut Latte (Small)" u="1"/>
        <s v="Nonfat Latte (Large)" u="1"/>
        <s v="Nonfat Latte (Medium)" u="1"/>
        <s v="Nonfat Latte (Small)" u="1"/>
        <s v="Nonfat Latte with Sugar Free French Vanilla Syrup (Large)" u="1"/>
        <s v="Nonfat Latte with Sugar Free French Vanilla Syrup (Medium)" u="1"/>
        <s v="Nonfat Latte with Sugar Free French Vanilla Syrup (Small)" u="1"/>
        <s v="Regular Iced Coffee (Large)" u="1"/>
        <s v="Regular Iced Coffee (Medium)" u="1"/>
        <s v="Regular Iced Coffee (Small)" u="1"/>
        <s v="Sweet Tea (Child)" u="1"/>
        <s v="Sweet Tea (Large)" u="1"/>
        <s v="Sweet Tea (Medium)" u="1"/>
        <s v="Sweet Tea (Small)" u="1"/>
        <s v="Baked Apple Pie" u="1"/>
        <s v="Chocolate Chip Cookie" u="1"/>
        <s v="Hot Caramel Sundae" u="1"/>
        <s v="Hot Fudge Sundae" u="1"/>
        <s v="Kids Ice Cream Cone" u="1"/>
        <s v="Oatmeal Raisin Cookie" u="1"/>
        <s v="Strawberry Sundae" u="1"/>
        <s v="Premium Bacon Ranch Salad (without Chicken)" u="1"/>
        <s v="Premium Bacon Ranch Salad with Crispy Chicken" u="1"/>
        <s v="Premium Bacon Ranch Salad with Grilled Chicken" u="1"/>
        <s v="Premium Southwest Salad (without Chicken)" u="1"/>
        <s v="Premium Southwest Salad with Crispy Chicken" u="1"/>
        <s v="Premium Southwest Salad with Grilled Chicken" u="1"/>
        <s v="Blueberry Pomegranate Smoothie (Large)" u="1"/>
        <s v="Blueberry Pomegranate Smoothie (Medium)" u="1"/>
        <s v="Blueberry Pomegranate Smoothie (Small)" u="1"/>
        <s v="Chocolate Shake (Large)" u="1"/>
        <s v="Chocolate Shake (Medium)" u="1"/>
        <s v="Chocolate Shake (Small)" u="1"/>
        <s v="Mango Pineapple Smoothie (Large)" u="1"/>
        <s v="Mango Pineapple Smoothie (Medium)" u="1"/>
        <s v="Mango Pineapple Smoothie (Small)" u="1"/>
        <s v="McFlurry with M&amp;Mâ€™s Candies (Medium)" u="1"/>
        <s v="McFlurry with M&amp;Mâ€™s Candies (Small)" u="1"/>
        <s v="McFlurry with M&amp;Mâ€™s Candies (Snack)" u="1"/>
        <s v="McFlurry with Oreo Cookies (Medium)" u="1"/>
        <s v="McFlurry with Oreo Cookies (Small)" u="1"/>
        <s v="McFlurry with Oreo Cookies (Snack)" u="1"/>
        <s v="McFlurry with Reese's Peanut Butter Cups (Medium)" u="1"/>
        <s v="McFlurry with Reese's Peanut Butter Cups (Snack)" u="1"/>
        <s v="Shamrock Shake (Large)" u="1"/>
        <s v="Shamrock Shake (Medium)" u="1"/>
        <s v="Strawberry Banana Smoothie (Large)" u="1"/>
        <s v="Strawberry Banana Smoothie (Medium)" u="1"/>
        <s v="Strawberry Banana Smoothie (Small)" u="1"/>
        <s v="Strawberry Shake (Large)" u="1"/>
        <s v="Strawberry Shake (Medium)" u="1"/>
        <s v="Strawberry Shake (Small)" u="1"/>
        <s v="Vanilla Shake (Large)" u="1"/>
        <s v="Vanilla Shake (Medium)" u="1"/>
        <s v="Vanilla Shake (Small)" u="1"/>
        <s v="Apple Slices" u="1"/>
        <s v="Chipotle BBQ Snack Wrap (Crispy Chicken)" u="1"/>
        <s v="Chipotle BBQ Snack Wrap (Grilled Chicken)" u="1"/>
        <s v="Fruit 'n Yogurt Parfait" u="1"/>
        <s v="Honey Mustard Snack Wrap (Crispy Chicken)" u="1"/>
        <s v="Honey Mustard Snack Wrap (Grilled Chicken)" u="1"/>
        <s v="Kids French Fries" u="1"/>
        <s v="Large French Fries" u="1"/>
        <s v="Medium French Fries" u="1"/>
        <s v="Ranch Snack Wrap (Crispy Chicken)" u="1"/>
        <s v="Ranch Snack Wrap (Grilled Chicken)" u="1"/>
        <s v="Side Salad" u="1"/>
        <s v="Small French Fries" u="1"/>
      </sharedItems>
    </cacheField>
    <cacheField name="[Measures].[Sum of FatCaloriesPercent]" caption="Sum of FatCaloriesPercent" numFmtId="0" hierarchy="74" level="32767"/>
    <cacheField name="[Range 1].[FatCaloriesPercent].[FatCaloriesPercent]" caption="FatCaloriesPercent" numFmtId="0" hierarchy="29" level="1">
      <sharedItems containsSemiMixedTypes="0" containsNonDate="0" containsString="0"/>
    </cacheField>
  </cacheFields>
  <cacheHierarchies count="85">
    <cacheHierarchy uniqueName="[Range].[Category]" caption="Category" attribute="1" defaultMemberUniqueName="[Range].[Category].[All]" allUniqueName="[Range].[Category].[All]" dimensionUniqueName="[Range]" displayFolder="" count="0" memberValueDatatype="130" unbalanced="0"/>
    <cacheHierarchy uniqueName="[Range].[Item]" caption="Item" attribute="1" defaultMemberUniqueName="[Range].[Item].[All]" allUniqueName="[Range].[Item].[All]" dimensionUniqueName="[Range]" displayFolder="" count="0" memberValueDatatype="130" unbalanced="0"/>
    <cacheHierarchy uniqueName="[Range].[Serving Size]" caption="Serving Size" attribute="1" defaultMemberUniqueName="[Range].[Serving Size].[All]" allUniqueName="[Range].[Serving Size].[All]" dimensionUniqueName="[Range]" displayFolder="" count="0" memberValueDatatype="130" unbalanced="0"/>
    <cacheHierarchy uniqueName="[Range].[Calories]" caption="Calories" attribute="1" defaultMemberUniqueName="[Range].[Calories].[All]" allUniqueName="[Range].[Calories].[All]" dimensionUniqueName="[Range]" displayFolder="" count="0" memberValueDatatype="20" unbalanced="0"/>
    <cacheHierarchy uniqueName="[Range].[Calories from Fat]" caption="Calories from Fat" attribute="1" defaultMemberUniqueName="[Range].[Calories from Fat].[All]" allUniqueName="[Range].[Calories from Fat].[All]" dimensionUniqueName="[Range]" displayFolder="" count="0" memberValueDatatype="20" unbalanced="0"/>
    <cacheHierarchy uniqueName="[Range].[Total Fat]" caption="Total Fat" attribute="1" defaultMemberUniqueName="[Range].[Total Fat].[All]" allUniqueName="[Range].[Total Fat].[All]" dimensionUniqueName="[Range]" displayFolder="" count="0" memberValueDatatype="5" unbalanced="0"/>
    <cacheHierarchy uniqueName="[Range].[Total Fat (% Daily Value)]" caption="Total Fat (% Daily Value)" attribute="1" defaultMemberUniqueName="[Range].[Total Fat (% Daily Value)].[All]" allUniqueName="[Range].[Total Fat (% Daily Value)].[All]" dimensionUniqueName="[Range]" displayFolder="" count="0" memberValueDatatype="20" unbalanced="0"/>
    <cacheHierarchy uniqueName="[Range].[Saturated Fat]" caption="Saturated Fat" attribute="1" defaultMemberUniqueName="[Range].[Saturated Fat].[All]" allUniqueName="[Range].[Saturated Fat].[All]" dimensionUniqueName="[Range]" displayFolder="" count="0" memberValueDatatype="5" unbalanced="0"/>
    <cacheHierarchy uniqueName="[Range].[Saturated Fat (% Daily Value)]" caption="Saturated Fat (% Daily Value)" attribute="1" defaultMemberUniqueName="[Range].[Saturated Fat (% Daily Value)].[All]" allUniqueName="[Range].[Saturated Fat (% Daily Value)].[All]" dimensionUniqueName="[Range]" displayFolder="" count="0" memberValueDatatype="20" unbalanced="0"/>
    <cacheHierarchy uniqueName="[Range].[Trans Fat]" caption="Trans Fat" attribute="1" defaultMemberUniqueName="[Range].[Trans Fat].[All]" allUniqueName="[Range].[Trans Fat].[All]" dimensionUniqueName="[Range]" displayFolder="" count="0" memberValueDatatype="5" unbalanced="0"/>
    <cacheHierarchy uniqueName="[Range].[Cholesterol]" caption="Cholesterol" attribute="1" defaultMemberUniqueName="[Range].[Cholesterol].[All]" allUniqueName="[Range].[Cholesterol].[All]" dimensionUniqueName="[Range]" displayFolder="" count="0" memberValueDatatype="20" unbalanced="0"/>
    <cacheHierarchy uniqueName="[Range].[Cholesterol (% Daily Value)]" caption="Cholesterol (% Daily Value)" attribute="1" defaultMemberUniqueName="[Range].[Cholesterol (% Daily Value)].[All]" allUniqueName="[Range].[Cholesterol (% Daily Value)].[All]" dimensionUniqueName="[Range]" displayFolder="" count="0" memberValueDatatype="20" unbalanced="0"/>
    <cacheHierarchy uniqueName="[Range].[Sodium]" caption="Sodium" attribute="1" defaultMemberUniqueName="[Range].[Sodium].[All]" allUniqueName="[Range].[Sodium].[All]" dimensionUniqueName="[Range]" displayFolder="" count="0" memberValueDatatype="20" unbalanced="0"/>
    <cacheHierarchy uniqueName="[Range].[Sodium (% Daily Value)]" caption="Sodium (% Daily Value)" attribute="1" defaultMemberUniqueName="[Range].[Sodium (% Daily Value)].[All]" allUniqueName="[Range].[Sodium (% Daily Value)].[All]" dimensionUniqueName="[Range]" displayFolder="" count="0" memberValueDatatype="20" unbalanced="0"/>
    <cacheHierarchy uniqueName="[Range].[Carbohydrates]" caption="Carbohydrates" attribute="1" defaultMemberUniqueName="[Range].[Carbohydrates].[All]" allUniqueName="[Range].[Carbohydrates].[All]" dimensionUniqueName="[Range]" displayFolder="" count="0" memberValueDatatype="20" unbalanced="0"/>
    <cacheHierarchy uniqueName="[Range].[Carbohydrates (% Daily Value)]" caption="Carbohydrates (% Daily Value)" attribute="1" defaultMemberUniqueName="[Range].[Carbohydrates (% Daily Value)].[All]" allUniqueName="[Range].[Carbohydrates (% Daily Value)].[All]" dimensionUniqueName="[Range]" displayFolder="" count="0" memberValueDatatype="20" unbalanced="0"/>
    <cacheHierarchy uniqueName="[Range].[Dietary Fiber]" caption="Dietary Fiber" attribute="1" defaultMemberUniqueName="[Range].[Dietary Fiber].[All]" allUniqueName="[Range].[Dietary Fiber].[All]" dimensionUniqueName="[Range]" displayFolder="" count="0" memberValueDatatype="20" unbalanced="0"/>
    <cacheHierarchy uniqueName="[Range].[Dietary Fiber (% Daily Value)]" caption="Dietary Fiber (% Daily Value)" attribute="1" defaultMemberUniqueName="[Range].[Dietary Fiber (% Daily Value)].[All]" allUniqueName="[Range].[Dietary Fiber (% Daily Value)].[All]" dimensionUniqueName="[Range]" displayFolder="" count="0" memberValueDatatype="20" unbalanced="0"/>
    <cacheHierarchy uniqueName="[Range].[Sugars]" caption="Sugars" attribute="1" defaultMemberUniqueName="[Range].[Sugars].[All]" allUniqueName="[Range].[Sugars].[All]" dimensionUniqueName="[Range]" displayFolder="" count="0" memberValueDatatype="20" unbalanced="0"/>
    <cacheHierarchy uniqueName="[Range].[Protein]" caption="Protein" attribute="1" defaultMemberUniqueName="[Range].[Protein].[All]" allUniqueName="[Range].[Protein].[All]" dimensionUniqueName="[Range]" displayFolder="" count="0" memberValueDatatype="20" unbalanced="0"/>
    <cacheHierarchy uniqueName="[Range].[Vitamin A (% Daily Value)]" caption="Vitamin A (% Daily Value)" attribute="1" defaultMemberUniqueName="[Range].[Vitamin A (% Daily Value)].[All]" allUniqueName="[Range].[Vitamin A (% Daily Value)].[All]" dimensionUniqueName="[Range]" displayFolder="" count="0" memberValueDatatype="20" unbalanced="0"/>
    <cacheHierarchy uniqueName="[Range].[Vitamin C (% Daily Value)]" caption="Vitamin C (% Daily Value)" attribute="1" defaultMemberUniqueName="[Range].[Vitamin C (% Daily Value)].[All]" allUniqueName="[Range].[Vitamin C (% Daily Value)].[All]" dimensionUniqueName="[Range]" displayFolder="" count="0" memberValueDatatype="20" unbalanced="0"/>
    <cacheHierarchy uniqueName="[Range].[Calcium (% Daily Value)]" caption="Calcium (% Daily Value)" attribute="1" defaultMemberUniqueName="[Range].[Calcium (% Daily Value)].[All]" allUniqueName="[Range].[Calcium (% Daily Value)].[All]" dimensionUniqueName="[Range]" displayFolder="" count="0" memberValueDatatype="20" unbalanced="0"/>
    <cacheHierarchy uniqueName="[Range].[Iron (% Daily Value)]" caption="Iron (% Daily Value)" attribute="1" defaultMemberUniqueName="[Range].[Iron (% Daily Value)].[All]" allUniqueName="[Range].[Iron (% Daily Value)].[All]" dimensionUniqueName="[Range]" displayFolder="" count="0" memberValueDatatype="20" unbalanced="0"/>
    <cacheHierarchy uniqueName="[Range 1].[Category]" caption="Category" attribute="1" defaultMemberUniqueName="[Range 1].[Category].[All]" allUniqueName="[Range 1].[Category].[All]" dimensionUniqueName="[Range 1]" displayFolder="" count="2" memberValueDatatype="130" unbalanced="0">
      <fieldsUsage count="2">
        <fieldUsage x="-1"/>
        <fieldUsage x="1"/>
      </fieldsUsage>
    </cacheHierarchy>
    <cacheHierarchy uniqueName="[Range 1].[Item]" caption="Item" attribute="1" defaultMemberUniqueName="[Range 1].[Item].[All]" allUniqueName="[Range 1].[Item].[All]" dimensionUniqueName="[Range 1]" displayFolder="" count="2" memberValueDatatype="130" unbalanced="0">
      <fieldsUsage count="2">
        <fieldUsage x="-1"/>
        <fieldUsage x="2"/>
      </fieldsUsage>
    </cacheHierarchy>
    <cacheHierarchy uniqueName="[Range 1].[Serving Size]" caption="Serving Size" attribute="1" defaultMemberUniqueName="[Range 1].[Serving Size].[All]" allUniqueName="[Range 1].[Serving Size].[All]" dimensionUniqueName="[Range 1]" displayFolder="" count="0" memberValueDatatype="130" unbalanced="0"/>
    <cacheHierarchy uniqueName="[Range 1].[Calories]" caption="Calories" attribute="1" defaultMemberUniqueName="[Range 1].[Calories].[All]" allUniqueName="[Range 1].[Calories].[All]" dimensionUniqueName="[Range 1]" displayFolder="" count="0" memberValueDatatype="20" unbalanced="0"/>
    <cacheHierarchy uniqueName="[Range 1].[Calories from Fat]" caption="Calories from Fat" attribute="1" defaultMemberUniqueName="[Range 1].[Calories from Fat].[All]" allUniqueName="[Range 1].[Calories from Fat].[All]" dimensionUniqueName="[Range 1]" displayFolder="" count="0" memberValueDatatype="20" unbalanced="0"/>
    <cacheHierarchy uniqueName="[Range 1].[FatCaloriesPercent]" caption="FatCaloriesPercent" attribute="1" defaultMemberUniqueName="[Range 1].[FatCaloriesPercent].[All]" allUniqueName="[Range 1].[FatCaloriesPercent].[All]" dimensionUniqueName="[Range 1]" displayFolder="" count="2" memberValueDatatype="5" unbalanced="0">
      <fieldsUsage count="2">
        <fieldUsage x="-1"/>
        <fieldUsage x="4"/>
      </fieldsUsage>
    </cacheHierarchy>
    <cacheHierarchy uniqueName="[Range 1].[Total Fat]" caption="Total Fat" attribute="1" defaultMemberUniqueName="[Range 1].[Total Fat].[All]" allUniqueName="[Range 1].[Total Fat].[All]" dimensionUniqueName="[Range 1]" displayFolder="" count="0" memberValueDatatype="5" unbalanced="0"/>
    <cacheHierarchy uniqueName="[Range 1].[Total Fat (% Daily Value)]" caption="Total Fat (% Daily Value)" attribute="1" defaultMemberUniqueName="[Range 1].[Total Fat (% Daily Value)].[All]" allUniqueName="[Range 1].[Total Fat (% Daily Value)].[All]" dimensionUniqueName="[Range 1]" displayFolder="" count="0" memberValueDatatype="20" unbalanced="0"/>
    <cacheHierarchy uniqueName="[Range 1].[Saturated Fat]" caption="Saturated Fat" attribute="1" defaultMemberUniqueName="[Range 1].[Saturated Fat].[All]" allUniqueName="[Range 1].[Saturated Fat].[All]" dimensionUniqueName="[Range 1]" displayFolder="" count="0" memberValueDatatype="5" unbalanced="0"/>
    <cacheHierarchy uniqueName="[Range 1].[Saturated Fat (% Daily Value)]" caption="Saturated Fat (% Daily Value)" attribute="1" defaultMemberUniqueName="[Range 1].[Saturated Fat (% Daily Value)].[All]" allUniqueName="[Range 1].[Saturated Fat (% Daily Value)].[All]" dimensionUniqueName="[Range 1]" displayFolder="" count="0" memberValueDatatype="20" unbalanced="0"/>
    <cacheHierarchy uniqueName="[Range 1].[Trans Fat]" caption="Trans Fat" attribute="1" defaultMemberUniqueName="[Range 1].[Trans Fat].[All]" allUniqueName="[Range 1].[Trans Fat].[All]" dimensionUniqueName="[Range 1]" displayFolder="" count="0" memberValueDatatype="5" unbalanced="0"/>
    <cacheHierarchy uniqueName="[Range 1].[Cholesterol]" caption="Cholesterol" attribute="1" defaultMemberUniqueName="[Range 1].[Cholesterol].[All]" allUniqueName="[Range 1].[Cholesterol].[All]" dimensionUniqueName="[Range 1]" displayFolder="" count="0" memberValueDatatype="20" unbalanced="0"/>
    <cacheHierarchy uniqueName="[Range 1].[Cholesterol (% Daily Value)]" caption="Cholesterol (% Daily Value)" attribute="1" defaultMemberUniqueName="[Range 1].[Cholesterol (% Daily Value)].[All]" allUniqueName="[Range 1].[Cholesterol (% Daily Value)].[All]" dimensionUniqueName="[Range 1]" displayFolder="" count="0" memberValueDatatype="20" unbalanced="0"/>
    <cacheHierarchy uniqueName="[Range 1].[Sodium]" caption="Sodium" attribute="1" defaultMemberUniqueName="[Range 1].[Sodium].[All]" allUniqueName="[Range 1].[Sodium].[All]" dimensionUniqueName="[Range 1]" displayFolder="" count="0" memberValueDatatype="20" unbalanced="0"/>
    <cacheHierarchy uniqueName="[Range 1].[Sodium (% Daily Value)]" caption="Sodium (% Daily Value)" attribute="1" defaultMemberUniqueName="[Range 1].[Sodium (% Daily Value)].[All]" allUniqueName="[Range 1].[Sodium (% Daily Value)].[All]" dimensionUniqueName="[Range 1]" displayFolder="" count="0" memberValueDatatype="20" unbalanced="0"/>
    <cacheHierarchy uniqueName="[Range 1].[Carbohydrates]" caption="Carbohydrates" attribute="1" defaultMemberUniqueName="[Range 1].[Carbohydrates].[All]" allUniqueName="[Range 1].[Carbohydrates].[All]" dimensionUniqueName="[Range 1]" displayFolder="" count="0" memberValueDatatype="20" unbalanced="0"/>
    <cacheHierarchy uniqueName="[Range 1].[Carbohydrates (% Daily Value)]" caption="Carbohydrates (% Daily Value)" attribute="1" defaultMemberUniqueName="[Range 1].[Carbohydrates (% Daily Value)].[All]" allUniqueName="[Range 1].[Carbohydrates (% Daily Value)].[All]" dimensionUniqueName="[Range 1]" displayFolder="" count="0" memberValueDatatype="20" unbalanced="0"/>
    <cacheHierarchy uniqueName="[Range 1].[Dietary Fiber]" caption="Dietary Fiber" attribute="1" defaultMemberUniqueName="[Range 1].[Dietary Fiber].[All]" allUniqueName="[Range 1].[Dietary Fiber].[All]" dimensionUniqueName="[Range 1]" displayFolder="" count="0" memberValueDatatype="20" unbalanced="0"/>
    <cacheHierarchy uniqueName="[Range 1].[Dietary Fiber (% Daily Value)]" caption="Dietary Fiber (% Daily Value)" attribute="1" defaultMemberUniqueName="[Range 1].[Dietary Fiber (% Daily Value)].[All]" allUniqueName="[Range 1].[Dietary Fiber (% Daily Value)].[All]" dimensionUniqueName="[Range 1]" displayFolder="" count="0" memberValueDatatype="20" unbalanced="0"/>
    <cacheHierarchy uniqueName="[Range 1].[Sugars]" caption="Sugars" attribute="1" defaultMemberUniqueName="[Range 1].[Sugars].[All]" allUniqueName="[Range 1].[Sugars].[All]" dimensionUniqueName="[Range 1]" displayFolder="" count="0" memberValueDatatype="20" unbalanced="0"/>
    <cacheHierarchy uniqueName="[Range 1].[Protein]" caption="Protein" attribute="1" defaultMemberUniqueName="[Range 1].[Protein].[All]" allUniqueName="[Range 1].[Protein].[All]" dimensionUniqueName="[Range 1]" displayFolder="" count="0" memberValueDatatype="20" unbalanced="0"/>
    <cacheHierarchy uniqueName="[Range 1].[Vitamin A (% Daily Value)]" caption="Vitamin A (% Daily Value)" attribute="1" defaultMemberUniqueName="[Range 1].[Vitamin A (% Daily Value)].[All]" allUniqueName="[Range 1].[Vitamin A (% Daily Value)].[All]" dimensionUniqueName="[Range 1]" displayFolder="" count="0" memberValueDatatype="20" unbalanced="0"/>
    <cacheHierarchy uniqueName="[Range 1].[Vitamin C (% Daily Value)]" caption="Vitamin C (% Daily Value)" attribute="1" defaultMemberUniqueName="[Range 1].[Vitamin C (% Daily Value)].[All]" allUniqueName="[Range 1].[Vitamin C (% Daily Value)].[All]" dimensionUniqueName="[Range 1]" displayFolder="" count="0" memberValueDatatype="20" unbalanced="0"/>
    <cacheHierarchy uniqueName="[Range 1].[Calcium (% Daily Value)]" caption="Calcium (% Daily Value)" attribute="1" defaultMemberUniqueName="[Range 1].[Calcium (% Daily Value)].[All]" allUniqueName="[Range 1].[Calcium (% Daily Value)].[All]" dimensionUniqueName="[Range 1]" displayFolder="" count="0" memberValueDatatype="20" unbalanced="0"/>
    <cacheHierarchy uniqueName="[Range 1].[Iron (% Daily Value)]" caption="Iron (% Daily Value)" attribute="1" defaultMemberUniqueName="[Range 1].[Iron (% Daily Value)].[All]" allUniqueName="[Range 1].[Iron (% Daily Value)].[All]" dimensionUniqueName="[Range 1]" displayFolder="" count="0" memberValueDatatype="20" unbalanced="0"/>
    <cacheHierarchy uniqueName="[Range 1].[HighNutrients]" caption="HighNutrients" attribute="1" defaultMemberUniqueName="[Range 1].[HighNutrients].[All]" allUniqueName="[Range 1].[HighNutrients].[All]" dimensionUniqueName="[Range 1]" displayFolder="" count="2" memberValueDatatype="130" unbalanced="0">
      <fieldsUsage count="2">
        <fieldUsage x="-1"/>
        <fieldUsage x="0"/>
      </fieldsUsage>
    </cacheHierarchy>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alories]" caption="Sum of Calories" measure="1" displayFolder="" measureGroup="Range" count="0" hidden="1">
      <extLst>
        <ext xmlns:x15="http://schemas.microsoft.com/office/spreadsheetml/2010/11/main" uri="{B97F6D7D-B522-45F9-BDA1-12C45D357490}">
          <x15:cacheHierarchy aggregatedColumn="3"/>
        </ext>
      </extLst>
    </cacheHierarchy>
    <cacheHierarchy uniqueName="[Measures].[Sum of Cholesterol (% Daily Value)]" caption="Sum of Cholesterol (% Daily Value)" measure="1" displayFolder="" measureGroup="Range" count="0" hidden="1">
      <extLst>
        <ext xmlns:x15="http://schemas.microsoft.com/office/spreadsheetml/2010/11/main" uri="{B97F6D7D-B522-45F9-BDA1-12C45D357490}">
          <x15:cacheHierarchy aggregatedColumn="11"/>
        </ext>
      </extLst>
    </cacheHierarchy>
    <cacheHierarchy uniqueName="[Measures].[Average of Cholesterol (% Daily Value)]" caption="Average of Cholesterol (% Daily Value)" measure="1" displayFolder="" measureGroup="Range" count="0" hidden="1">
      <extLst>
        <ext xmlns:x15="http://schemas.microsoft.com/office/spreadsheetml/2010/11/main" uri="{B97F6D7D-B522-45F9-BDA1-12C45D357490}">
          <x15:cacheHierarchy aggregatedColumn="11"/>
        </ext>
      </extLst>
    </cacheHierarchy>
    <cacheHierarchy uniqueName="[Measures].[Sum of Total Fat (% Daily Value)]" caption="Sum of Total Fat (% Daily Value)" measure="1" displayFolder="" measureGroup="Range" count="0" hidden="1">
      <extLst>
        <ext xmlns:x15="http://schemas.microsoft.com/office/spreadsheetml/2010/11/main" uri="{B97F6D7D-B522-45F9-BDA1-12C45D357490}">
          <x15:cacheHierarchy aggregatedColumn="6"/>
        </ext>
      </extLst>
    </cacheHierarchy>
    <cacheHierarchy uniqueName="[Measures].[Average of Total Fat (% Daily Value)]" caption="Average of Total Fat (% Daily Value)" measure="1" displayFolder="" measureGroup="Range" count="0" hidden="1">
      <extLst>
        <ext xmlns:x15="http://schemas.microsoft.com/office/spreadsheetml/2010/11/main" uri="{B97F6D7D-B522-45F9-BDA1-12C45D357490}">
          <x15:cacheHierarchy aggregatedColumn="6"/>
        </ext>
      </extLst>
    </cacheHierarchy>
    <cacheHierarchy uniqueName="[Measures].[Sum of Saturated Fat (% Daily Value)]" caption="Sum of Saturated Fat (% Daily Value)" measure="1" displayFolder="" measureGroup="Range" count="0" hidden="1">
      <extLst>
        <ext xmlns:x15="http://schemas.microsoft.com/office/spreadsheetml/2010/11/main" uri="{B97F6D7D-B522-45F9-BDA1-12C45D357490}">
          <x15:cacheHierarchy aggregatedColumn="8"/>
        </ext>
      </extLst>
    </cacheHierarchy>
    <cacheHierarchy uniqueName="[Measures].[Sum of Sodium (% Daily Value)]" caption="Sum of Sodium (% Daily Value)" measure="1" displayFolder="" measureGroup="Range" count="0" hidden="1">
      <extLst>
        <ext xmlns:x15="http://schemas.microsoft.com/office/spreadsheetml/2010/11/main" uri="{B97F6D7D-B522-45F9-BDA1-12C45D357490}">
          <x15:cacheHierarchy aggregatedColumn="13"/>
        </ext>
      </extLst>
    </cacheHierarchy>
    <cacheHierarchy uniqueName="[Measures].[Sum of Carbohydrates (% Daily Value)]" caption="Sum of Carbohydrates (% Daily Value)" measure="1" displayFolder="" measureGroup="Range" count="0" hidden="1">
      <extLst>
        <ext xmlns:x15="http://schemas.microsoft.com/office/spreadsheetml/2010/11/main" uri="{B97F6D7D-B522-45F9-BDA1-12C45D357490}">
          <x15:cacheHierarchy aggregatedColumn="15"/>
        </ext>
      </extLst>
    </cacheHierarchy>
    <cacheHierarchy uniqueName="[Measures].[Sum of Dietary Fiber (% Daily Value)]" caption="Sum of Dietary Fiber (% Daily Value)" measure="1" displayFolder="" measureGroup="Range" count="0" hidden="1">
      <extLst>
        <ext xmlns:x15="http://schemas.microsoft.com/office/spreadsheetml/2010/11/main" uri="{B97F6D7D-B522-45F9-BDA1-12C45D357490}">
          <x15:cacheHierarchy aggregatedColumn="17"/>
        </ext>
      </extLst>
    </cacheHierarchy>
    <cacheHierarchy uniqueName="[Measures].[Sum of Vitamin A (% Daily Value)]" caption="Sum of Vitamin A (% Daily Value)" measure="1" displayFolder="" measureGroup="Range" count="0" hidden="1">
      <extLst>
        <ext xmlns:x15="http://schemas.microsoft.com/office/spreadsheetml/2010/11/main" uri="{B97F6D7D-B522-45F9-BDA1-12C45D357490}">
          <x15:cacheHierarchy aggregatedColumn="20"/>
        </ext>
      </extLst>
    </cacheHierarchy>
    <cacheHierarchy uniqueName="[Measures].[Sum of Vitamin C (% Daily Value)]" caption="Sum of Vitamin C (% Daily Value)" measure="1" displayFolder="" measureGroup="Range" count="0" hidden="1">
      <extLst>
        <ext xmlns:x15="http://schemas.microsoft.com/office/spreadsheetml/2010/11/main" uri="{B97F6D7D-B522-45F9-BDA1-12C45D357490}">
          <x15:cacheHierarchy aggregatedColumn="21"/>
        </ext>
      </extLst>
    </cacheHierarchy>
    <cacheHierarchy uniqueName="[Measures].[Sum of Calcium (% Daily Value)]" caption="Sum of Calcium (% Daily Value)" measure="1" displayFolder="" measureGroup="Range" count="0" hidden="1">
      <extLst>
        <ext xmlns:x15="http://schemas.microsoft.com/office/spreadsheetml/2010/11/main" uri="{B97F6D7D-B522-45F9-BDA1-12C45D357490}">
          <x15:cacheHierarchy aggregatedColumn="22"/>
        </ext>
      </extLst>
    </cacheHierarchy>
    <cacheHierarchy uniqueName="[Measures].[Sum of Iron (% Daily Value)]" caption="Sum of Iron (% Daily Value)" measure="1" displayFolder="" measureGroup="Range" count="0" hidden="1">
      <extLst>
        <ext xmlns:x15="http://schemas.microsoft.com/office/spreadsheetml/2010/11/main" uri="{B97F6D7D-B522-45F9-BDA1-12C45D357490}">
          <x15:cacheHierarchy aggregatedColumn="23"/>
        </ext>
      </extLst>
    </cacheHierarchy>
    <cacheHierarchy uniqueName="[Measures].[Sum of Sugars]" caption="Sum of Sugars" measure="1" displayFolder="" measureGroup="Range" count="0" hidden="1">
      <extLst>
        <ext xmlns:x15="http://schemas.microsoft.com/office/spreadsheetml/2010/11/main" uri="{B97F6D7D-B522-45F9-BDA1-12C45D357490}">
          <x15:cacheHierarchy aggregatedColumn="18"/>
        </ext>
      </extLst>
    </cacheHierarchy>
    <cacheHierarchy uniqueName="[Measures].[Sum of Protein]" caption="Sum of Protein" measure="1" displayFolder="" measureGroup="Range" count="0" hidden="1">
      <extLst>
        <ext xmlns:x15="http://schemas.microsoft.com/office/spreadsheetml/2010/11/main" uri="{B97F6D7D-B522-45F9-BDA1-12C45D357490}">
          <x15:cacheHierarchy aggregatedColumn="19"/>
        </ext>
      </extLst>
    </cacheHierarchy>
    <cacheHierarchy uniqueName="[Measures].[Sum of Calories from Fat]" caption="Sum of Calories from Fat" measure="1" displayFolder="" measureGroup="Range" count="0" hidden="1">
      <extLst>
        <ext xmlns:x15="http://schemas.microsoft.com/office/spreadsheetml/2010/11/main" uri="{B97F6D7D-B522-45F9-BDA1-12C45D357490}">
          <x15:cacheHierarchy aggregatedColumn="4"/>
        </ext>
      </extLst>
    </cacheHierarchy>
    <cacheHierarchy uniqueName="[Measures].[Sum of Vitamin A (% Daily Value) 2]" caption="Sum of Vitamin A (% Daily Value) 2" measure="1" displayFolder="" measureGroup="Range 1" count="0" hidden="1">
      <extLst>
        <ext xmlns:x15="http://schemas.microsoft.com/office/spreadsheetml/2010/11/main" uri="{B97F6D7D-B522-45F9-BDA1-12C45D357490}">
          <x15:cacheHierarchy aggregatedColumn="45"/>
        </ext>
      </extLst>
    </cacheHierarchy>
    <cacheHierarchy uniqueName="[Measures].[Sum of Calories 2]" caption="Sum of Calories 2" measure="1" displayFolder="" measureGroup="Range 1" count="0" hidden="1">
      <extLst>
        <ext xmlns:x15="http://schemas.microsoft.com/office/spreadsheetml/2010/11/main" uri="{B97F6D7D-B522-45F9-BDA1-12C45D357490}">
          <x15:cacheHierarchy aggregatedColumn="27"/>
        </ext>
      </extLst>
    </cacheHierarchy>
    <cacheHierarchy uniqueName="[Measures].[Sum of Sugars 2]" caption="Sum of Sugars 2" measure="1" displayFolder="" measureGroup="Range 1" count="0" hidden="1">
      <extLst>
        <ext xmlns:x15="http://schemas.microsoft.com/office/spreadsheetml/2010/11/main" uri="{B97F6D7D-B522-45F9-BDA1-12C45D357490}">
          <x15:cacheHierarchy aggregatedColumn="43"/>
        </ext>
      </extLst>
    </cacheHierarchy>
    <cacheHierarchy uniqueName="[Measures].[Sum of Sodium]" caption="Sum of Sodium" measure="1" displayFolder="" measureGroup="Range 1" count="0" hidden="1">
      <extLst>
        <ext xmlns:x15="http://schemas.microsoft.com/office/spreadsheetml/2010/11/main" uri="{B97F6D7D-B522-45F9-BDA1-12C45D357490}">
          <x15:cacheHierarchy aggregatedColumn="37"/>
        </ext>
      </extLst>
    </cacheHierarchy>
    <cacheHierarchy uniqueName="[Measures].[Sum of Saturated Fat (% Daily Value) 2]" caption="Sum of Saturated Fat (% Daily Value) 2" measure="1" displayFolder="" measureGroup="Range 1" count="0" hidden="1">
      <extLst>
        <ext xmlns:x15="http://schemas.microsoft.com/office/spreadsheetml/2010/11/main" uri="{B97F6D7D-B522-45F9-BDA1-12C45D357490}">
          <x15:cacheHierarchy aggregatedColumn="33"/>
        </ext>
      </extLst>
    </cacheHierarchy>
    <cacheHierarchy uniqueName="[Measures].[Sum of FatCaloriesPercent]" caption="Sum of FatCaloriesPercent" measure="1" displayFolder="" measureGroup="Range 1" count="0" oneField="1" hidden="1">
      <fieldsUsage count="1">
        <fieldUsage x="3"/>
      </fieldsUsage>
      <extLst>
        <ext xmlns:x15="http://schemas.microsoft.com/office/spreadsheetml/2010/11/main" uri="{B97F6D7D-B522-45F9-BDA1-12C45D357490}">
          <x15:cacheHierarchy aggregatedColumn="29"/>
        </ext>
      </extLst>
    </cacheHierarchy>
    <cacheHierarchy uniqueName="[Measures].[Sum of Calories from Fat 2]" caption="Sum of Calories from Fat 2" measure="1" displayFolder="" measureGroup="Range 1" count="0" hidden="1">
      <extLst>
        <ext xmlns:x15="http://schemas.microsoft.com/office/spreadsheetml/2010/11/main" uri="{B97F6D7D-B522-45F9-BDA1-12C45D357490}">
          <x15:cacheHierarchy aggregatedColumn="28"/>
        </ext>
      </extLst>
    </cacheHierarchy>
    <cacheHierarchy uniqueName="[Measures].[Sum of Total Fat (% Daily Value) 2]" caption="Sum of Total Fat (% Daily Value) 2" measure="1" displayFolder="" measureGroup="Range 1" count="0" hidden="1">
      <extLst>
        <ext xmlns:x15="http://schemas.microsoft.com/office/spreadsheetml/2010/11/main" uri="{B97F6D7D-B522-45F9-BDA1-12C45D357490}">
          <x15:cacheHierarchy aggregatedColumn="31"/>
        </ext>
      </extLst>
    </cacheHierarchy>
    <cacheHierarchy uniqueName="[Measures].[Sum of Total Fat]" caption="Sum of Total Fat" measure="1" displayFolder="" measureGroup="Range 1" count="0" hidden="1">
      <extLst>
        <ext xmlns:x15="http://schemas.microsoft.com/office/spreadsheetml/2010/11/main" uri="{B97F6D7D-B522-45F9-BDA1-12C45D357490}">
          <x15:cacheHierarchy aggregatedColumn="30"/>
        </ext>
      </extLst>
    </cacheHierarchy>
    <cacheHierarchy uniqueName="[Measures].[Sum of Saturated Fat]" caption="Sum of Saturated Fat" measure="1" displayFolder="" measureGroup="Range 1" count="0" hidden="1">
      <extLst>
        <ext xmlns:x15="http://schemas.microsoft.com/office/spreadsheetml/2010/11/main" uri="{B97F6D7D-B522-45F9-BDA1-12C45D357490}">
          <x15:cacheHierarchy aggregatedColumn="32"/>
        </ext>
      </extLst>
    </cacheHierarchy>
    <cacheHierarchy uniqueName="[Measures].[Sum of Protein 2]" caption="Sum of Protein 2" measure="1" displayFolder="" measureGroup="Range 1" count="0" hidden="1">
      <extLst>
        <ext xmlns:x15="http://schemas.microsoft.com/office/spreadsheetml/2010/11/main" uri="{B97F6D7D-B522-45F9-BDA1-12C45D357490}">
          <x15:cacheHierarchy aggregatedColumn="44"/>
        </ext>
      </extLst>
    </cacheHierarchy>
    <cacheHierarchy uniqueName="[Measures].[Sum of Cholesterol]" caption="Sum of Cholesterol" measure="1" displayFolder="" measureGroup="Range 1" count="0" hidden="1">
      <extLst>
        <ext xmlns:x15="http://schemas.microsoft.com/office/spreadsheetml/2010/11/main" uri="{B97F6D7D-B522-45F9-BDA1-12C45D357490}">
          <x15:cacheHierarchy aggregatedColumn="35"/>
        </ext>
      </extLst>
    </cacheHierarchy>
    <cacheHierarchy uniqueName="[Measures].[Count of HighNutrients]" caption="Count of HighNutrients" measure="1" displayFolder="" measureGroup="Range 1" count="0" hidden="1">
      <extLst>
        <ext xmlns:x15="http://schemas.microsoft.com/office/spreadsheetml/2010/11/main" uri="{B97F6D7D-B522-45F9-BDA1-12C45D357490}">
          <x15:cacheHierarchy aggregatedColumn="49"/>
        </ext>
      </extLst>
    </cacheHierarchy>
    <cacheHierarchy uniqueName="[Measures].[Sum of Carbohydrates]" caption="Sum of Carbohydrates" measure="1" displayFolder="" measureGroup="Range 1" count="0" hidden="1">
      <extLst>
        <ext xmlns:x15="http://schemas.microsoft.com/office/spreadsheetml/2010/11/main" uri="{B97F6D7D-B522-45F9-BDA1-12C45D357490}">
          <x15:cacheHierarchy aggregatedColumn="39"/>
        </ext>
      </extLst>
    </cacheHierarchy>
    <cacheHierarchy uniqueName="[Measures].[Sum of Carbohydrates (% Daily Value) 2]" caption="Sum of Carbohydrates (% Daily Value) 2" measure="1" displayFolder="" measureGroup="Range 1" count="0" hidden="1">
      <extLst>
        <ext xmlns:x15="http://schemas.microsoft.com/office/spreadsheetml/2010/11/main" uri="{B97F6D7D-B522-45F9-BDA1-12C45D357490}">
          <x15:cacheHierarchy aggregatedColumn="40"/>
        </ext>
      </extLst>
    </cacheHierarchy>
    <cacheHierarchy uniqueName="[Measures].[Count of Category]" caption="Count of Category" measure="1" displayFolder="" measureGroup="Range"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yabini Venkatesan" refreshedDate="45181.484407291668" backgroundQuery="1" createdVersion="8" refreshedVersion="8" minRefreshableVersion="3" recordCount="0" supportSubquery="1" supportAdvancedDrill="1" xr:uid="{2FB45CF4-3297-4B31-97BD-3EABCC5EE7D3}">
  <cacheSource type="external" connectionId="1"/>
  <cacheFields count="4">
    <cacheField name="[Range 1].[HighNutrients].[HighNutrients]" caption="HighNutrients" numFmtId="0" hierarchy="49" level="1">
      <sharedItems count="1">
        <s v="Vitamin A"/>
      </sharedItems>
    </cacheField>
    <cacheField name="[Range 1].[Category].[Category]" caption="Category" numFmtId="0" hierarchy="24" level="1">
      <sharedItems count="1">
        <s v="Breakfast"/>
      </sharedItems>
    </cacheField>
    <cacheField name="[Range 1].[Item].[Item]" caption="Item" numFmtId="0" hierarchy="25" level="1">
      <sharedItems count="24">
        <s v="Bacon, Egg &amp; Cheese Biscuit (Regular Biscuit)"/>
        <s v="Bacon, Egg &amp; Cheese Biscuit with Egg Whites (Large Biscuit)"/>
        <s v="Bacon, Egg &amp; Cheese Biscuit with Egg Whites (Regular Biscuit)"/>
        <s v="Bacon, Egg &amp; Cheese McGriddles"/>
        <s v="Bacon, Egg &amp; Cheese McGriddles with Egg Whites"/>
        <s v="Cinnamon Melts"/>
        <s v="Egg McMuffin"/>
        <s v="Egg White Delight"/>
        <s v="Fruit &amp; Maple Oatmeal"/>
        <s v="Fruit &amp; Maple Oatmeal without Brown Sugar"/>
        <s v="Hash Brown"/>
        <s v="Hotcakes"/>
        <s v="Sausage Biscuit (Large Biscuit)"/>
        <s v="Sausage Biscuit (Regular Biscuit)"/>
        <s v="Sausage Biscuit with Egg Whites (Regular Biscuit)"/>
        <s v="Sausage Burrito"/>
        <s v="Sausage McGriddles"/>
        <s v="Sausage McMuffin"/>
        <s v="Sausage McMuffin with Egg"/>
        <s v="Sausage McMuffin with Egg Whites"/>
        <s v="Sausage, Egg &amp; Cheese McGriddles with Egg Whites"/>
        <s v="Southern Style Chicken Biscuit (Large Biscuit)"/>
        <s v="Southern Style Chicken Biscuit (Regular Biscuit)"/>
        <s v="Steak &amp; Egg McMuffin"/>
      </sharedItems>
    </cacheField>
    <cacheField name="[Measures].[Sum of Calories 2]" caption="Sum of Calories 2" numFmtId="0" hierarchy="70" level="32767"/>
  </cacheFields>
  <cacheHierarchies count="85">
    <cacheHierarchy uniqueName="[Range].[Category]" caption="Category" attribute="1" defaultMemberUniqueName="[Range].[Category].[All]" allUniqueName="[Range].[Category].[All]" dimensionUniqueName="[Range]" displayFolder="" count="2" memberValueDatatype="130" unbalanced="0"/>
    <cacheHierarchy uniqueName="[Range].[Item]" caption="Item" attribute="1" defaultMemberUniqueName="[Range].[Item].[All]" allUniqueName="[Range].[Item].[All]" dimensionUniqueName="[Range]" displayFolder="" count="2" memberValueDatatype="130" unbalanced="0"/>
    <cacheHierarchy uniqueName="[Range].[Serving Size]" caption="Serving Size" attribute="1" defaultMemberUniqueName="[Range].[Serving Size].[All]" allUniqueName="[Range].[Serving Size].[All]" dimensionUniqueName="[Range]" displayFolder="" count="2" memberValueDatatype="130" unbalanced="0"/>
    <cacheHierarchy uniqueName="[Range].[Calories]" caption="Calories" attribute="1" defaultMemberUniqueName="[Range].[Calories].[All]" allUniqueName="[Range].[Calories].[All]" dimensionUniqueName="[Range]" displayFolder="" count="2" memberValueDatatype="20" unbalanced="0"/>
    <cacheHierarchy uniqueName="[Range].[Calories from Fat]" caption="Calories from Fat" attribute="1" defaultMemberUniqueName="[Range].[Calories from Fat].[All]" allUniqueName="[Range].[Calories from Fat].[All]" dimensionUniqueName="[Range]" displayFolder="" count="2" memberValueDatatype="20" unbalanced="0"/>
    <cacheHierarchy uniqueName="[Range].[Total Fat]" caption="Total Fat" attribute="1" defaultMemberUniqueName="[Range].[Total Fat].[All]" allUniqueName="[Range].[Total Fat].[All]" dimensionUniqueName="[Range]" displayFolder="" count="2" memberValueDatatype="5" unbalanced="0"/>
    <cacheHierarchy uniqueName="[Range].[Total Fat (% Daily Value)]" caption="Total Fat (% Daily Value)" attribute="1" defaultMemberUniqueName="[Range].[Total Fat (% Daily Value)].[All]" allUniqueName="[Range].[Total Fat (% Daily Value)].[All]" dimensionUniqueName="[Range]" displayFolder="" count="2" memberValueDatatype="20" unbalanced="0"/>
    <cacheHierarchy uniqueName="[Range].[Saturated Fat]" caption="Saturated Fat" attribute="1" defaultMemberUniqueName="[Range].[Saturated Fat].[All]" allUniqueName="[Range].[Saturated Fat].[All]" dimensionUniqueName="[Range]" displayFolder="" count="2" memberValueDatatype="5" unbalanced="0"/>
    <cacheHierarchy uniqueName="[Range].[Saturated Fat (% Daily Value)]" caption="Saturated Fat (% Daily Value)" attribute="1" defaultMemberUniqueName="[Range].[Saturated Fat (% Daily Value)].[All]" allUniqueName="[Range].[Saturated Fat (% Daily Value)].[All]" dimensionUniqueName="[Range]" displayFolder="" count="2" memberValueDatatype="20" unbalanced="0"/>
    <cacheHierarchy uniqueName="[Range].[Trans Fat]" caption="Trans Fat" attribute="1" defaultMemberUniqueName="[Range].[Trans Fat].[All]" allUniqueName="[Range].[Trans Fat].[All]" dimensionUniqueName="[Range]" displayFolder="" count="2" memberValueDatatype="5" unbalanced="0"/>
    <cacheHierarchy uniqueName="[Range].[Cholesterol]" caption="Cholesterol" attribute="1" defaultMemberUniqueName="[Range].[Cholesterol].[All]" allUniqueName="[Range].[Cholesterol].[All]" dimensionUniqueName="[Range]" displayFolder="" count="2" memberValueDatatype="20" unbalanced="0"/>
    <cacheHierarchy uniqueName="[Range].[Cholesterol (% Daily Value)]" caption="Cholesterol (% Daily Value)" attribute="1" defaultMemberUniqueName="[Range].[Cholesterol (% Daily Value)].[All]" allUniqueName="[Range].[Cholesterol (% Daily Value)].[All]" dimensionUniqueName="[Range]" displayFolder="" count="2" memberValueDatatype="20" unbalanced="0"/>
    <cacheHierarchy uniqueName="[Range].[Sodium]" caption="Sodium" attribute="1" defaultMemberUniqueName="[Range].[Sodium].[All]" allUniqueName="[Range].[Sodium].[All]" dimensionUniqueName="[Range]" displayFolder="" count="2" memberValueDatatype="20" unbalanced="0"/>
    <cacheHierarchy uniqueName="[Range].[Sodium (% Daily Value)]" caption="Sodium (% Daily Value)" attribute="1" defaultMemberUniqueName="[Range].[Sodium (% Daily Value)].[All]" allUniqueName="[Range].[Sodium (% Daily Value)].[All]" dimensionUniqueName="[Range]" displayFolder="" count="2" memberValueDatatype="20" unbalanced="0"/>
    <cacheHierarchy uniqueName="[Range].[Carbohydrates]" caption="Carbohydrates" attribute="1" defaultMemberUniqueName="[Range].[Carbohydrates].[All]" allUniqueName="[Range].[Carbohydrates].[All]" dimensionUniqueName="[Range]" displayFolder="" count="2" memberValueDatatype="20" unbalanced="0"/>
    <cacheHierarchy uniqueName="[Range].[Carbohydrates (% Daily Value)]" caption="Carbohydrates (% Daily Value)" attribute="1" defaultMemberUniqueName="[Range].[Carbohydrates (% Daily Value)].[All]" allUniqueName="[Range].[Carbohydrates (% Daily Value)].[All]" dimensionUniqueName="[Range]" displayFolder="" count="2" memberValueDatatype="20" unbalanced="0"/>
    <cacheHierarchy uniqueName="[Range].[Dietary Fiber]" caption="Dietary Fiber" attribute="1" defaultMemberUniqueName="[Range].[Dietary Fiber].[All]" allUniqueName="[Range].[Dietary Fiber].[All]" dimensionUniqueName="[Range]" displayFolder="" count="2" memberValueDatatype="20" unbalanced="0"/>
    <cacheHierarchy uniqueName="[Range].[Dietary Fiber (% Daily Value)]" caption="Dietary Fiber (% Daily Value)" attribute="1" defaultMemberUniqueName="[Range].[Dietary Fiber (% Daily Value)].[All]" allUniqueName="[Range].[Dietary Fiber (% Daily Value)].[All]" dimensionUniqueName="[Range]" displayFolder="" count="2" memberValueDatatype="20" unbalanced="0"/>
    <cacheHierarchy uniqueName="[Range].[Sugars]" caption="Sugars" attribute="1" defaultMemberUniqueName="[Range].[Sugars].[All]" allUniqueName="[Range].[Sugars].[All]" dimensionUniqueName="[Range]" displayFolder="" count="2" memberValueDatatype="20" unbalanced="0"/>
    <cacheHierarchy uniqueName="[Range].[Protein]" caption="Protein" attribute="1" defaultMemberUniqueName="[Range].[Protein].[All]" allUniqueName="[Range].[Protein].[All]" dimensionUniqueName="[Range]" displayFolder="" count="2" memberValueDatatype="20" unbalanced="0"/>
    <cacheHierarchy uniqueName="[Range].[Vitamin A (% Daily Value)]" caption="Vitamin A (% Daily Value)" attribute="1" defaultMemberUniqueName="[Range].[Vitamin A (% Daily Value)].[All]" allUniqueName="[Range].[Vitamin A (% Daily Value)].[All]" dimensionUniqueName="[Range]" displayFolder="" count="2" memberValueDatatype="20" unbalanced="0"/>
    <cacheHierarchy uniqueName="[Range].[Vitamin C (% Daily Value)]" caption="Vitamin C (% Daily Value)" attribute="1" defaultMemberUniqueName="[Range].[Vitamin C (% Daily Value)].[All]" allUniqueName="[Range].[Vitamin C (% Daily Value)].[All]" dimensionUniqueName="[Range]" displayFolder="" count="2" memberValueDatatype="20" unbalanced="0"/>
    <cacheHierarchy uniqueName="[Range].[Calcium (% Daily Value)]" caption="Calcium (% Daily Value)" attribute="1" defaultMemberUniqueName="[Range].[Calcium (% Daily Value)].[All]" allUniqueName="[Range].[Calcium (% Daily Value)].[All]" dimensionUniqueName="[Range]" displayFolder="" count="2" memberValueDatatype="20" unbalanced="0"/>
    <cacheHierarchy uniqueName="[Range].[Iron (% Daily Value)]" caption="Iron (% Daily Value)" attribute="1" defaultMemberUniqueName="[Range].[Iron (% Daily Value)].[All]" allUniqueName="[Range].[Iron (% Daily Value)].[All]" dimensionUniqueName="[Range]" displayFolder="" count="2" memberValueDatatype="20" unbalanced="0"/>
    <cacheHierarchy uniqueName="[Range 1].[Category]" caption="Category" attribute="1" defaultMemberUniqueName="[Range 1].[Category].[All]" allUniqueName="[Range 1].[Category].[All]" dimensionUniqueName="[Range 1]" displayFolder="" count="2" memberValueDatatype="130" unbalanced="0">
      <fieldsUsage count="2">
        <fieldUsage x="-1"/>
        <fieldUsage x="1"/>
      </fieldsUsage>
    </cacheHierarchy>
    <cacheHierarchy uniqueName="[Range 1].[Item]" caption="Item" attribute="1" defaultMemberUniqueName="[Range 1].[Item].[All]" allUniqueName="[Range 1].[Item].[All]" dimensionUniqueName="[Range 1]" displayFolder="" count="2" memberValueDatatype="130" unbalanced="0">
      <fieldsUsage count="2">
        <fieldUsage x="-1"/>
        <fieldUsage x="2"/>
      </fieldsUsage>
    </cacheHierarchy>
    <cacheHierarchy uniqueName="[Range 1].[Serving Size]" caption="Serving Size" attribute="1" defaultMemberUniqueName="[Range 1].[Serving Size].[All]" allUniqueName="[Range 1].[Serving Size].[All]" dimensionUniqueName="[Range 1]" displayFolder="" count="2" memberValueDatatype="130" unbalanced="0"/>
    <cacheHierarchy uniqueName="[Range 1].[Calories]" caption="Calories" attribute="1" defaultMemberUniqueName="[Range 1].[Calories].[All]" allUniqueName="[Range 1].[Calories].[All]" dimensionUniqueName="[Range 1]" displayFolder="" count="2" memberValueDatatype="20" unbalanced="0"/>
    <cacheHierarchy uniqueName="[Range 1].[Calories from Fat]" caption="Calories from Fat" attribute="1" defaultMemberUniqueName="[Range 1].[Calories from Fat].[All]" allUniqueName="[Range 1].[Calories from Fat].[All]" dimensionUniqueName="[Range 1]" displayFolder="" count="2" memberValueDatatype="20" unbalanced="0"/>
    <cacheHierarchy uniqueName="[Range 1].[FatCaloriesPercent]" caption="FatCaloriesPercent" attribute="1" defaultMemberUniqueName="[Range 1].[FatCaloriesPercent].[All]" allUniqueName="[Range 1].[FatCaloriesPercent].[All]" dimensionUniqueName="[Range 1]" displayFolder="" count="2" memberValueDatatype="5" unbalanced="0"/>
    <cacheHierarchy uniqueName="[Range 1].[Total Fat]" caption="Total Fat" attribute="1" defaultMemberUniqueName="[Range 1].[Total Fat].[All]" allUniqueName="[Range 1].[Total Fat].[All]" dimensionUniqueName="[Range 1]" displayFolder="" count="2" memberValueDatatype="5" unbalanced="0"/>
    <cacheHierarchy uniqueName="[Range 1].[Total Fat (% Daily Value)]" caption="Total Fat (% Daily Value)" attribute="1" defaultMemberUniqueName="[Range 1].[Total Fat (% Daily Value)].[All]" allUniqueName="[Range 1].[Total Fat (% Daily Value)].[All]" dimensionUniqueName="[Range 1]" displayFolder="" count="2" memberValueDatatype="20" unbalanced="0"/>
    <cacheHierarchy uniqueName="[Range 1].[Saturated Fat]" caption="Saturated Fat" attribute="1" defaultMemberUniqueName="[Range 1].[Saturated Fat].[All]" allUniqueName="[Range 1].[Saturated Fat].[All]" dimensionUniqueName="[Range 1]" displayFolder="" count="2" memberValueDatatype="5" unbalanced="0"/>
    <cacheHierarchy uniqueName="[Range 1].[Saturated Fat (% Daily Value)]" caption="Saturated Fat (% Daily Value)" attribute="1" defaultMemberUniqueName="[Range 1].[Saturated Fat (% Daily Value)].[All]" allUniqueName="[Range 1].[Saturated Fat (% Daily Value)].[All]" dimensionUniqueName="[Range 1]" displayFolder="" count="2" memberValueDatatype="20" unbalanced="0"/>
    <cacheHierarchy uniqueName="[Range 1].[Trans Fat]" caption="Trans Fat" attribute="1" defaultMemberUniqueName="[Range 1].[Trans Fat].[All]" allUniqueName="[Range 1].[Trans Fat].[All]" dimensionUniqueName="[Range 1]" displayFolder="" count="2" memberValueDatatype="5" unbalanced="0"/>
    <cacheHierarchy uniqueName="[Range 1].[Cholesterol]" caption="Cholesterol" attribute="1" defaultMemberUniqueName="[Range 1].[Cholesterol].[All]" allUniqueName="[Range 1].[Cholesterol].[All]" dimensionUniqueName="[Range 1]" displayFolder="" count="2" memberValueDatatype="20" unbalanced="0"/>
    <cacheHierarchy uniqueName="[Range 1].[Cholesterol (% Daily Value)]" caption="Cholesterol (% Daily Value)" attribute="1" defaultMemberUniqueName="[Range 1].[Cholesterol (% Daily Value)].[All]" allUniqueName="[Range 1].[Cholesterol (% Daily Value)].[All]" dimensionUniqueName="[Range 1]" displayFolder="" count="2" memberValueDatatype="20" unbalanced="0"/>
    <cacheHierarchy uniqueName="[Range 1].[Sodium]" caption="Sodium" attribute="1" defaultMemberUniqueName="[Range 1].[Sodium].[All]" allUniqueName="[Range 1].[Sodium].[All]" dimensionUniqueName="[Range 1]" displayFolder="" count="2" memberValueDatatype="20" unbalanced="0"/>
    <cacheHierarchy uniqueName="[Range 1].[Sodium (% Daily Value)]" caption="Sodium (% Daily Value)" attribute="1" defaultMemberUniqueName="[Range 1].[Sodium (% Daily Value)].[All]" allUniqueName="[Range 1].[Sodium (% Daily Value)].[All]" dimensionUniqueName="[Range 1]" displayFolder="" count="2" memberValueDatatype="20" unbalanced="0"/>
    <cacheHierarchy uniqueName="[Range 1].[Carbohydrates]" caption="Carbohydrates" attribute="1" defaultMemberUniqueName="[Range 1].[Carbohydrates].[All]" allUniqueName="[Range 1].[Carbohydrates].[All]" dimensionUniqueName="[Range 1]" displayFolder="" count="2" memberValueDatatype="20" unbalanced="0"/>
    <cacheHierarchy uniqueName="[Range 1].[Carbohydrates (% Daily Value)]" caption="Carbohydrates (% Daily Value)" attribute="1" defaultMemberUniqueName="[Range 1].[Carbohydrates (% Daily Value)].[All]" allUniqueName="[Range 1].[Carbohydrates (% Daily Value)].[All]" dimensionUniqueName="[Range 1]" displayFolder="" count="2" memberValueDatatype="20" unbalanced="0"/>
    <cacheHierarchy uniqueName="[Range 1].[Dietary Fiber]" caption="Dietary Fiber" attribute="1" defaultMemberUniqueName="[Range 1].[Dietary Fiber].[All]" allUniqueName="[Range 1].[Dietary Fiber].[All]" dimensionUniqueName="[Range 1]" displayFolder="" count="2" memberValueDatatype="20" unbalanced="0"/>
    <cacheHierarchy uniqueName="[Range 1].[Dietary Fiber (% Daily Value)]" caption="Dietary Fiber (% Daily Value)" attribute="1" defaultMemberUniqueName="[Range 1].[Dietary Fiber (% Daily Value)].[All]" allUniqueName="[Range 1].[Dietary Fiber (% Daily Value)].[All]" dimensionUniqueName="[Range 1]" displayFolder="" count="2" memberValueDatatype="20" unbalanced="0"/>
    <cacheHierarchy uniqueName="[Range 1].[Sugars]" caption="Sugars" attribute="1" defaultMemberUniqueName="[Range 1].[Sugars].[All]" allUniqueName="[Range 1].[Sugars].[All]" dimensionUniqueName="[Range 1]" displayFolder="" count="2" memberValueDatatype="20" unbalanced="0"/>
    <cacheHierarchy uniqueName="[Range 1].[Protein]" caption="Protein" attribute="1" defaultMemberUniqueName="[Range 1].[Protein].[All]" allUniqueName="[Range 1].[Protein].[All]" dimensionUniqueName="[Range 1]" displayFolder="" count="2" memberValueDatatype="20" unbalanced="0"/>
    <cacheHierarchy uniqueName="[Range 1].[Vitamin A (% Daily Value)]" caption="Vitamin A (% Daily Value)" attribute="1" defaultMemberUniqueName="[Range 1].[Vitamin A (% Daily Value)].[All]" allUniqueName="[Range 1].[Vitamin A (% Daily Value)].[All]" dimensionUniqueName="[Range 1]" displayFolder="" count="2" memberValueDatatype="20" unbalanced="0"/>
    <cacheHierarchy uniqueName="[Range 1].[Vitamin C (% Daily Value)]" caption="Vitamin C (% Daily Value)" attribute="1" defaultMemberUniqueName="[Range 1].[Vitamin C (% Daily Value)].[All]" allUniqueName="[Range 1].[Vitamin C (% Daily Value)].[All]" dimensionUniqueName="[Range 1]" displayFolder="" count="2" memberValueDatatype="20" unbalanced="0"/>
    <cacheHierarchy uniqueName="[Range 1].[Calcium (% Daily Value)]" caption="Calcium (% Daily Value)" attribute="1" defaultMemberUniqueName="[Range 1].[Calcium (% Daily Value)].[All]" allUniqueName="[Range 1].[Calcium (% Daily Value)].[All]" dimensionUniqueName="[Range 1]" displayFolder="" count="2" memberValueDatatype="20" unbalanced="0"/>
    <cacheHierarchy uniqueName="[Range 1].[Iron (% Daily Value)]" caption="Iron (% Daily Value)" attribute="1" defaultMemberUniqueName="[Range 1].[Iron (% Daily Value)].[All]" allUniqueName="[Range 1].[Iron (% Daily Value)].[All]" dimensionUniqueName="[Range 1]" displayFolder="" count="2" memberValueDatatype="20" unbalanced="0"/>
    <cacheHierarchy uniqueName="[Range 1].[HighNutrients]" caption="HighNutrients" attribute="1" defaultMemberUniqueName="[Range 1].[HighNutrients].[All]" allUniqueName="[Range 1].[HighNutrients].[All]" dimensionUniqueName="[Range 1]" displayFolder="" count="2" memberValueDatatype="130" unbalanced="0">
      <fieldsUsage count="2">
        <fieldUsage x="-1"/>
        <fieldUsage x="0"/>
      </fieldsUsage>
    </cacheHierarchy>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alories]" caption="Sum of Calories" measure="1" displayFolder="" measureGroup="Range" count="0" hidden="1">
      <extLst>
        <ext xmlns:x15="http://schemas.microsoft.com/office/spreadsheetml/2010/11/main" uri="{B97F6D7D-B522-45F9-BDA1-12C45D357490}">
          <x15:cacheHierarchy aggregatedColumn="3"/>
        </ext>
      </extLst>
    </cacheHierarchy>
    <cacheHierarchy uniqueName="[Measures].[Sum of Cholesterol (% Daily Value)]" caption="Sum of Cholesterol (% Daily Value)" measure="1" displayFolder="" measureGroup="Range" count="0" hidden="1">
      <extLst>
        <ext xmlns:x15="http://schemas.microsoft.com/office/spreadsheetml/2010/11/main" uri="{B97F6D7D-B522-45F9-BDA1-12C45D357490}">
          <x15:cacheHierarchy aggregatedColumn="11"/>
        </ext>
      </extLst>
    </cacheHierarchy>
    <cacheHierarchy uniqueName="[Measures].[Average of Cholesterol (% Daily Value)]" caption="Average of Cholesterol (% Daily Value)" measure="1" displayFolder="" measureGroup="Range" count="0" hidden="1">
      <extLst>
        <ext xmlns:x15="http://schemas.microsoft.com/office/spreadsheetml/2010/11/main" uri="{B97F6D7D-B522-45F9-BDA1-12C45D357490}">
          <x15:cacheHierarchy aggregatedColumn="11"/>
        </ext>
      </extLst>
    </cacheHierarchy>
    <cacheHierarchy uniqueName="[Measures].[Sum of Total Fat (% Daily Value)]" caption="Sum of Total Fat (% Daily Value)" measure="1" displayFolder="" measureGroup="Range" count="0" hidden="1">
      <extLst>
        <ext xmlns:x15="http://schemas.microsoft.com/office/spreadsheetml/2010/11/main" uri="{B97F6D7D-B522-45F9-BDA1-12C45D357490}">
          <x15:cacheHierarchy aggregatedColumn="6"/>
        </ext>
      </extLst>
    </cacheHierarchy>
    <cacheHierarchy uniqueName="[Measures].[Average of Total Fat (% Daily Value)]" caption="Average of Total Fat (% Daily Value)" measure="1" displayFolder="" measureGroup="Range" count="0" hidden="1">
      <extLst>
        <ext xmlns:x15="http://schemas.microsoft.com/office/spreadsheetml/2010/11/main" uri="{B97F6D7D-B522-45F9-BDA1-12C45D357490}">
          <x15:cacheHierarchy aggregatedColumn="6"/>
        </ext>
      </extLst>
    </cacheHierarchy>
    <cacheHierarchy uniqueName="[Measures].[Sum of Saturated Fat (% Daily Value)]" caption="Sum of Saturated Fat (% Daily Value)" measure="1" displayFolder="" measureGroup="Range" count="0" hidden="1">
      <extLst>
        <ext xmlns:x15="http://schemas.microsoft.com/office/spreadsheetml/2010/11/main" uri="{B97F6D7D-B522-45F9-BDA1-12C45D357490}">
          <x15:cacheHierarchy aggregatedColumn="8"/>
        </ext>
      </extLst>
    </cacheHierarchy>
    <cacheHierarchy uniqueName="[Measures].[Sum of Sodium (% Daily Value)]" caption="Sum of Sodium (% Daily Value)" measure="1" displayFolder="" measureGroup="Range" count="0" hidden="1">
      <extLst>
        <ext xmlns:x15="http://schemas.microsoft.com/office/spreadsheetml/2010/11/main" uri="{B97F6D7D-B522-45F9-BDA1-12C45D357490}">
          <x15:cacheHierarchy aggregatedColumn="13"/>
        </ext>
      </extLst>
    </cacheHierarchy>
    <cacheHierarchy uniqueName="[Measures].[Sum of Carbohydrates (% Daily Value)]" caption="Sum of Carbohydrates (% Daily Value)" measure="1" displayFolder="" measureGroup="Range" count="0" hidden="1">
      <extLst>
        <ext xmlns:x15="http://schemas.microsoft.com/office/spreadsheetml/2010/11/main" uri="{B97F6D7D-B522-45F9-BDA1-12C45D357490}">
          <x15:cacheHierarchy aggregatedColumn="15"/>
        </ext>
      </extLst>
    </cacheHierarchy>
    <cacheHierarchy uniqueName="[Measures].[Sum of Dietary Fiber (% Daily Value)]" caption="Sum of Dietary Fiber (% Daily Value)" measure="1" displayFolder="" measureGroup="Range" count="0" hidden="1">
      <extLst>
        <ext xmlns:x15="http://schemas.microsoft.com/office/spreadsheetml/2010/11/main" uri="{B97F6D7D-B522-45F9-BDA1-12C45D357490}">
          <x15:cacheHierarchy aggregatedColumn="17"/>
        </ext>
      </extLst>
    </cacheHierarchy>
    <cacheHierarchy uniqueName="[Measures].[Sum of Vitamin A (% Daily Value)]" caption="Sum of Vitamin A (% Daily Value)" measure="1" displayFolder="" measureGroup="Range" count="0" hidden="1">
      <extLst>
        <ext xmlns:x15="http://schemas.microsoft.com/office/spreadsheetml/2010/11/main" uri="{B97F6D7D-B522-45F9-BDA1-12C45D357490}">
          <x15:cacheHierarchy aggregatedColumn="20"/>
        </ext>
      </extLst>
    </cacheHierarchy>
    <cacheHierarchy uniqueName="[Measures].[Sum of Vitamin C (% Daily Value)]" caption="Sum of Vitamin C (% Daily Value)" measure="1" displayFolder="" measureGroup="Range" count="0" hidden="1">
      <extLst>
        <ext xmlns:x15="http://schemas.microsoft.com/office/spreadsheetml/2010/11/main" uri="{B97F6D7D-B522-45F9-BDA1-12C45D357490}">
          <x15:cacheHierarchy aggregatedColumn="21"/>
        </ext>
      </extLst>
    </cacheHierarchy>
    <cacheHierarchy uniqueName="[Measures].[Sum of Calcium (% Daily Value)]" caption="Sum of Calcium (% Daily Value)" measure="1" displayFolder="" measureGroup="Range" count="0" hidden="1">
      <extLst>
        <ext xmlns:x15="http://schemas.microsoft.com/office/spreadsheetml/2010/11/main" uri="{B97F6D7D-B522-45F9-BDA1-12C45D357490}">
          <x15:cacheHierarchy aggregatedColumn="22"/>
        </ext>
      </extLst>
    </cacheHierarchy>
    <cacheHierarchy uniqueName="[Measures].[Sum of Iron (% Daily Value)]" caption="Sum of Iron (% Daily Value)" measure="1" displayFolder="" measureGroup="Range" count="0" hidden="1">
      <extLst>
        <ext xmlns:x15="http://schemas.microsoft.com/office/spreadsheetml/2010/11/main" uri="{B97F6D7D-B522-45F9-BDA1-12C45D357490}">
          <x15:cacheHierarchy aggregatedColumn="23"/>
        </ext>
      </extLst>
    </cacheHierarchy>
    <cacheHierarchy uniqueName="[Measures].[Sum of Sugars]" caption="Sum of Sugars" measure="1" displayFolder="" measureGroup="Range" count="0" hidden="1">
      <extLst>
        <ext xmlns:x15="http://schemas.microsoft.com/office/spreadsheetml/2010/11/main" uri="{B97F6D7D-B522-45F9-BDA1-12C45D357490}">
          <x15:cacheHierarchy aggregatedColumn="18"/>
        </ext>
      </extLst>
    </cacheHierarchy>
    <cacheHierarchy uniqueName="[Measures].[Sum of Protein]" caption="Sum of Protein" measure="1" displayFolder="" measureGroup="Range" count="0" hidden="1">
      <extLst>
        <ext xmlns:x15="http://schemas.microsoft.com/office/spreadsheetml/2010/11/main" uri="{B97F6D7D-B522-45F9-BDA1-12C45D357490}">
          <x15:cacheHierarchy aggregatedColumn="19"/>
        </ext>
      </extLst>
    </cacheHierarchy>
    <cacheHierarchy uniqueName="[Measures].[Sum of Calories from Fat]" caption="Sum of Calories from Fat" measure="1" displayFolder="" measureGroup="Range" count="0" hidden="1">
      <extLst>
        <ext xmlns:x15="http://schemas.microsoft.com/office/spreadsheetml/2010/11/main" uri="{B97F6D7D-B522-45F9-BDA1-12C45D357490}">
          <x15:cacheHierarchy aggregatedColumn="4"/>
        </ext>
      </extLst>
    </cacheHierarchy>
    <cacheHierarchy uniqueName="[Measures].[Sum of Vitamin A (% Daily Value) 2]" caption="Sum of Vitamin A (% Daily Value) 2" measure="1" displayFolder="" measureGroup="Range 1" count="0" hidden="1">
      <extLst>
        <ext xmlns:x15="http://schemas.microsoft.com/office/spreadsheetml/2010/11/main" uri="{B97F6D7D-B522-45F9-BDA1-12C45D357490}">
          <x15:cacheHierarchy aggregatedColumn="45"/>
        </ext>
      </extLst>
    </cacheHierarchy>
    <cacheHierarchy uniqueName="[Measures].[Sum of Calories 2]" caption="Sum of Calories 2" measure="1" displayFolder="" measureGroup="Range 1" count="0" oneField="1" hidden="1">
      <fieldsUsage count="1">
        <fieldUsage x="3"/>
      </fieldsUsage>
      <extLst>
        <ext xmlns:x15="http://schemas.microsoft.com/office/spreadsheetml/2010/11/main" uri="{B97F6D7D-B522-45F9-BDA1-12C45D357490}">
          <x15:cacheHierarchy aggregatedColumn="27"/>
        </ext>
      </extLst>
    </cacheHierarchy>
    <cacheHierarchy uniqueName="[Measures].[Sum of Sugars 2]" caption="Sum of Sugars 2" measure="1" displayFolder="" measureGroup="Range 1" count="0" hidden="1">
      <extLst>
        <ext xmlns:x15="http://schemas.microsoft.com/office/spreadsheetml/2010/11/main" uri="{B97F6D7D-B522-45F9-BDA1-12C45D357490}">
          <x15:cacheHierarchy aggregatedColumn="43"/>
        </ext>
      </extLst>
    </cacheHierarchy>
    <cacheHierarchy uniqueName="[Measures].[Sum of Sodium]" caption="Sum of Sodium" measure="1" displayFolder="" measureGroup="Range 1" count="0" hidden="1">
      <extLst>
        <ext xmlns:x15="http://schemas.microsoft.com/office/spreadsheetml/2010/11/main" uri="{B97F6D7D-B522-45F9-BDA1-12C45D357490}">
          <x15:cacheHierarchy aggregatedColumn="37"/>
        </ext>
      </extLst>
    </cacheHierarchy>
    <cacheHierarchy uniqueName="[Measures].[Sum of Saturated Fat (% Daily Value) 2]" caption="Sum of Saturated Fat (% Daily Value) 2" measure="1" displayFolder="" measureGroup="Range 1" count="0" hidden="1">
      <extLst>
        <ext xmlns:x15="http://schemas.microsoft.com/office/spreadsheetml/2010/11/main" uri="{B97F6D7D-B522-45F9-BDA1-12C45D357490}">
          <x15:cacheHierarchy aggregatedColumn="33"/>
        </ext>
      </extLst>
    </cacheHierarchy>
    <cacheHierarchy uniqueName="[Measures].[Sum of FatCaloriesPercent]" caption="Sum of FatCaloriesPercent" measure="1" displayFolder="" measureGroup="Range 1" count="0" hidden="1">
      <extLst>
        <ext xmlns:x15="http://schemas.microsoft.com/office/spreadsheetml/2010/11/main" uri="{B97F6D7D-B522-45F9-BDA1-12C45D357490}">
          <x15:cacheHierarchy aggregatedColumn="29"/>
        </ext>
      </extLst>
    </cacheHierarchy>
    <cacheHierarchy uniqueName="[Measures].[Sum of Calories from Fat 2]" caption="Sum of Calories from Fat 2" measure="1" displayFolder="" measureGroup="Range 1" count="0" hidden="1">
      <extLst>
        <ext xmlns:x15="http://schemas.microsoft.com/office/spreadsheetml/2010/11/main" uri="{B97F6D7D-B522-45F9-BDA1-12C45D357490}">
          <x15:cacheHierarchy aggregatedColumn="28"/>
        </ext>
      </extLst>
    </cacheHierarchy>
    <cacheHierarchy uniqueName="[Measures].[Sum of Total Fat (% Daily Value) 2]" caption="Sum of Total Fat (% Daily Value) 2" measure="1" displayFolder="" measureGroup="Range 1" count="0" hidden="1">
      <extLst>
        <ext xmlns:x15="http://schemas.microsoft.com/office/spreadsheetml/2010/11/main" uri="{B97F6D7D-B522-45F9-BDA1-12C45D357490}">
          <x15:cacheHierarchy aggregatedColumn="31"/>
        </ext>
      </extLst>
    </cacheHierarchy>
    <cacheHierarchy uniqueName="[Measures].[Sum of Total Fat]" caption="Sum of Total Fat" measure="1" displayFolder="" measureGroup="Range 1" count="0" hidden="1">
      <extLst>
        <ext xmlns:x15="http://schemas.microsoft.com/office/spreadsheetml/2010/11/main" uri="{B97F6D7D-B522-45F9-BDA1-12C45D357490}">
          <x15:cacheHierarchy aggregatedColumn="30"/>
        </ext>
      </extLst>
    </cacheHierarchy>
    <cacheHierarchy uniqueName="[Measures].[Sum of Saturated Fat]" caption="Sum of Saturated Fat" measure="1" displayFolder="" measureGroup="Range 1" count="0" hidden="1">
      <extLst>
        <ext xmlns:x15="http://schemas.microsoft.com/office/spreadsheetml/2010/11/main" uri="{B97F6D7D-B522-45F9-BDA1-12C45D357490}">
          <x15:cacheHierarchy aggregatedColumn="32"/>
        </ext>
      </extLst>
    </cacheHierarchy>
    <cacheHierarchy uniqueName="[Measures].[Sum of Protein 2]" caption="Sum of Protein 2" measure="1" displayFolder="" measureGroup="Range 1" count="0" hidden="1">
      <extLst>
        <ext xmlns:x15="http://schemas.microsoft.com/office/spreadsheetml/2010/11/main" uri="{B97F6D7D-B522-45F9-BDA1-12C45D357490}">
          <x15:cacheHierarchy aggregatedColumn="44"/>
        </ext>
      </extLst>
    </cacheHierarchy>
    <cacheHierarchy uniqueName="[Measures].[Sum of Cholesterol]" caption="Sum of Cholesterol" measure="1" displayFolder="" measureGroup="Range 1" count="0" hidden="1">
      <extLst>
        <ext xmlns:x15="http://schemas.microsoft.com/office/spreadsheetml/2010/11/main" uri="{B97F6D7D-B522-45F9-BDA1-12C45D357490}">
          <x15:cacheHierarchy aggregatedColumn="35"/>
        </ext>
      </extLst>
    </cacheHierarchy>
    <cacheHierarchy uniqueName="[Measures].[Count of HighNutrients]" caption="Count of HighNutrients" measure="1" displayFolder="" measureGroup="Range 1" count="0" hidden="1">
      <extLst>
        <ext xmlns:x15="http://schemas.microsoft.com/office/spreadsheetml/2010/11/main" uri="{B97F6D7D-B522-45F9-BDA1-12C45D357490}">
          <x15:cacheHierarchy aggregatedColumn="49"/>
        </ext>
      </extLst>
    </cacheHierarchy>
    <cacheHierarchy uniqueName="[Measures].[Sum of Carbohydrates]" caption="Sum of Carbohydrates" measure="1" displayFolder="" measureGroup="Range 1" count="0" hidden="1">
      <extLst>
        <ext xmlns:x15="http://schemas.microsoft.com/office/spreadsheetml/2010/11/main" uri="{B97F6D7D-B522-45F9-BDA1-12C45D357490}">
          <x15:cacheHierarchy aggregatedColumn="39"/>
        </ext>
      </extLst>
    </cacheHierarchy>
    <cacheHierarchy uniqueName="[Measures].[Sum of Carbohydrates (% Daily Value) 2]" caption="Sum of Carbohydrates (% Daily Value) 2" measure="1" displayFolder="" measureGroup="Range 1" count="0" hidden="1">
      <extLst>
        <ext xmlns:x15="http://schemas.microsoft.com/office/spreadsheetml/2010/11/main" uri="{B97F6D7D-B522-45F9-BDA1-12C45D357490}">
          <x15:cacheHierarchy aggregatedColumn="40"/>
        </ext>
      </extLst>
    </cacheHierarchy>
    <cacheHierarchy uniqueName="[Measures].[Count of Category]" caption="Count of Category" measure="1" displayFolder="" measureGroup="Range"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yabini Venkatesan" refreshedDate="45181.48440775463" backgroundQuery="1" createdVersion="8" refreshedVersion="8" minRefreshableVersion="3" recordCount="0" supportSubquery="1" supportAdvancedDrill="1" xr:uid="{BE906A9C-09FB-4A03-A28A-3BF738B03333}">
  <cacheSource type="external" connectionId="1"/>
  <cacheFields count="7">
    <cacheField name="[Range 1].[HighNutrients].[HighNutrients]" caption="HighNutrients" numFmtId="0" hierarchy="49" level="1">
      <sharedItems count="4">
        <s v="Calcium"/>
        <s v="Iron"/>
        <s v="Vitamin A"/>
        <s v="Vitamin C"/>
      </sharedItems>
    </cacheField>
    <cacheField name="[Range 1].[Category].[Category]" caption="Category" numFmtId="0" hierarchy="24" level="1">
      <sharedItems containsSemiMixedTypes="0" containsNonDate="0" containsString="0"/>
    </cacheField>
    <cacheField name="[Range 1].[Protein].[Protein]" caption="Protein" numFmtId="0" hierarchy="44" level="1">
      <sharedItems containsSemiMixedTypes="0" containsNonDate="0" containsString="0"/>
    </cacheField>
    <cacheField name="[Range 1].[Cholesterol].[Cholesterol]" caption="Cholesterol" numFmtId="0" hierarchy="35" level="1">
      <sharedItems containsSemiMixedTypes="0" containsNonDate="0" containsString="0"/>
    </cacheField>
    <cacheField name="[Range 1].[Sodium].[Sodium]" caption="Sodium" numFmtId="0" hierarchy="37" level="1">
      <sharedItems containsSemiMixedTypes="0" containsNonDate="0" containsString="0"/>
    </cacheField>
    <cacheField name="[Range 1].[Calories from Fat].[Calories from Fat]" caption="Calories from Fat" numFmtId="0" hierarchy="28" level="1">
      <sharedItems containsSemiMixedTypes="0" containsNonDate="0" containsString="0"/>
    </cacheField>
    <cacheField name="[Measures].[Count of HighNutrients]" caption="Count of HighNutrients" numFmtId="0" hierarchy="81" level="32767"/>
  </cacheFields>
  <cacheHierarchies count="85">
    <cacheHierarchy uniqueName="[Range].[Category]" caption="Category" attribute="1" defaultMemberUniqueName="[Range].[Category].[All]" allUniqueName="[Range].[Category].[All]" dimensionUniqueName="[Range]" displayFolder="" count="0" memberValueDatatype="130" unbalanced="0"/>
    <cacheHierarchy uniqueName="[Range].[Item]" caption="Item" attribute="1" defaultMemberUniqueName="[Range].[Item].[All]" allUniqueName="[Range].[Item].[All]" dimensionUniqueName="[Range]" displayFolder="" count="0" memberValueDatatype="130" unbalanced="0"/>
    <cacheHierarchy uniqueName="[Range].[Serving Size]" caption="Serving Size" attribute="1" defaultMemberUniqueName="[Range].[Serving Size].[All]" allUniqueName="[Range].[Serving Size].[All]" dimensionUniqueName="[Range]" displayFolder="" count="0" memberValueDatatype="130" unbalanced="0"/>
    <cacheHierarchy uniqueName="[Range].[Calories]" caption="Calories" attribute="1" defaultMemberUniqueName="[Range].[Calories].[All]" allUniqueName="[Range].[Calories].[All]" dimensionUniqueName="[Range]" displayFolder="" count="0" memberValueDatatype="20" unbalanced="0"/>
    <cacheHierarchy uniqueName="[Range].[Calories from Fat]" caption="Calories from Fat" attribute="1" defaultMemberUniqueName="[Range].[Calories from Fat].[All]" allUniqueName="[Range].[Calories from Fat].[All]" dimensionUniqueName="[Range]" displayFolder="" count="0" memberValueDatatype="20" unbalanced="0"/>
    <cacheHierarchy uniqueName="[Range].[Total Fat]" caption="Total Fat" attribute="1" defaultMemberUniqueName="[Range].[Total Fat].[All]" allUniqueName="[Range].[Total Fat].[All]" dimensionUniqueName="[Range]" displayFolder="" count="0" memberValueDatatype="5" unbalanced="0"/>
    <cacheHierarchy uniqueName="[Range].[Total Fat (% Daily Value)]" caption="Total Fat (% Daily Value)" attribute="1" defaultMemberUniqueName="[Range].[Total Fat (% Daily Value)].[All]" allUniqueName="[Range].[Total Fat (% Daily Value)].[All]" dimensionUniqueName="[Range]" displayFolder="" count="0" memberValueDatatype="20" unbalanced="0"/>
    <cacheHierarchy uniqueName="[Range].[Saturated Fat]" caption="Saturated Fat" attribute="1" defaultMemberUniqueName="[Range].[Saturated Fat].[All]" allUniqueName="[Range].[Saturated Fat].[All]" dimensionUniqueName="[Range]" displayFolder="" count="0" memberValueDatatype="5" unbalanced="0"/>
    <cacheHierarchy uniqueName="[Range].[Saturated Fat (% Daily Value)]" caption="Saturated Fat (% Daily Value)" attribute="1" defaultMemberUniqueName="[Range].[Saturated Fat (% Daily Value)].[All]" allUniqueName="[Range].[Saturated Fat (% Daily Value)].[All]" dimensionUniqueName="[Range]" displayFolder="" count="0" memberValueDatatype="20" unbalanced="0"/>
    <cacheHierarchy uniqueName="[Range].[Trans Fat]" caption="Trans Fat" attribute="1" defaultMemberUniqueName="[Range].[Trans Fat].[All]" allUniqueName="[Range].[Trans Fat].[All]" dimensionUniqueName="[Range]" displayFolder="" count="0" memberValueDatatype="5" unbalanced="0"/>
    <cacheHierarchy uniqueName="[Range].[Cholesterol]" caption="Cholesterol" attribute="1" defaultMemberUniqueName="[Range].[Cholesterol].[All]" allUniqueName="[Range].[Cholesterol].[All]" dimensionUniqueName="[Range]" displayFolder="" count="0" memberValueDatatype="20" unbalanced="0"/>
    <cacheHierarchy uniqueName="[Range].[Cholesterol (% Daily Value)]" caption="Cholesterol (% Daily Value)" attribute="1" defaultMemberUniqueName="[Range].[Cholesterol (% Daily Value)].[All]" allUniqueName="[Range].[Cholesterol (% Daily Value)].[All]" dimensionUniqueName="[Range]" displayFolder="" count="0" memberValueDatatype="20" unbalanced="0"/>
    <cacheHierarchy uniqueName="[Range].[Sodium]" caption="Sodium" attribute="1" defaultMemberUniqueName="[Range].[Sodium].[All]" allUniqueName="[Range].[Sodium].[All]" dimensionUniqueName="[Range]" displayFolder="" count="0" memberValueDatatype="20" unbalanced="0"/>
    <cacheHierarchy uniqueName="[Range].[Sodium (% Daily Value)]" caption="Sodium (% Daily Value)" attribute="1" defaultMemberUniqueName="[Range].[Sodium (% Daily Value)].[All]" allUniqueName="[Range].[Sodium (% Daily Value)].[All]" dimensionUniqueName="[Range]" displayFolder="" count="0" memberValueDatatype="20" unbalanced="0"/>
    <cacheHierarchy uniqueName="[Range].[Carbohydrates]" caption="Carbohydrates" attribute="1" defaultMemberUniqueName="[Range].[Carbohydrates].[All]" allUniqueName="[Range].[Carbohydrates].[All]" dimensionUniqueName="[Range]" displayFolder="" count="0" memberValueDatatype="20" unbalanced="0"/>
    <cacheHierarchy uniqueName="[Range].[Carbohydrates (% Daily Value)]" caption="Carbohydrates (% Daily Value)" attribute="1" defaultMemberUniqueName="[Range].[Carbohydrates (% Daily Value)].[All]" allUniqueName="[Range].[Carbohydrates (% Daily Value)].[All]" dimensionUniqueName="[Range]" displayFolder="" count="0" memberValueDatatype="20" unbalanced="0"/>
    <cacheHierarchy uniqueName="[Range].[Dietary Fiber]" caption="Dietary Fiber" attribute="1" defaultMemberUniqueName="[Range].[Dietary Fiber].[All]" allUniqueName="[Range].[Dietary Fiber].[All]" dimensionUniqueName="[Range]" displayFolder="" count="0" memberValueDatatype="20" unbalanced="0"/>
    <cacheHierarchy uniqueName="[Range].[Dietary Fiber (% Daily Value)]" caption="Dietary Fiber (% Daily Value)" attribute="1" defaultMemberUniqueName="[Range].[Dietary Fiber (% Daily Value)].[All]" allUniqueName="[Range].[Dietary Fiber (% Daily Value)].[All]" dimensionUniqueName="[Range]" displayFolder="" count="0" memberValueDatatype="20" unbalanced="0"/>
    <cacheHierarchy uniqueName="[Range].[Sugars]" caption="Sugars" attribute="1" defaultMemberUniqueName="[Range].[Sugars].[All]" allUniqueName="[Range].[Sugars].[All]" dimensionUniqueName="[Range]" displayFolder="" count="0" memberValueDatatype="20" unbalanced="0"/>
    <cacheHierarchy uniqueName="[Range].[Protein]" caption="Protein" attribute="1" defaultMemberUniqueName="[Range].[Protein].[All]" allUniqueName="[Range].[Protein].[All]" dimensionUniqueName="[Range]" displayFolder="" count="0" memberValueDatatype="20" unbalanced="0"/>
    <cacheHierarchy uniqueName="[Range].[Vitamin A (% Daily Value)]" caption="Vitamin A (% Daily Value)" attribute="1" defaultMemberUniqueName="[Range].[Vitamin A (% Daily Value)].[All]" allUniqueName="[Range].[Vitamin A (% Daily Value)].[All]" dimensionUniqueName="[Range]" displayFolder="" count="0" memberValueDatatype="20" unbalanced="0"/>
    <cacheHierarchy uniqueName="[Range].[Vitamin C (% Daily Value)]" caption="Vitamin C (% Daily Value)" attribute="1" defaultMemberUniqueName="[Range].[Vitamin C (% Daily Value)].[All]" allUniqueName="[Range].[Vitamin C (% Daily Value)].[All]" dimensionUniqueName="[Range]" displayFolder="" count="0" memberValueDatatype="20" unbalanced="0"/>
    <cacheHierarchy uniqueName="[Range].[Calcium (% Daily Value)]" caption="Calcium (% Daily Value)" attribute="1" defaultMemberUniqueName="[Range].[Calcium (% Daily Value)].[All]" allUniqueName="[Range].[Calcium (% Daily Value)].[All]" dimensionUniqueName="[Range]" displayFolder="" count="0" memberValueDatatype="20" unbalanced="0"/>
    <cacheHierarchy uniqueName="[Range].[Iron (% Daily Value)]" caption="Iron (% Daily Value)" attribute="1" defaultMemberUniqueName="[Range].[Iron (% Daily Value)].[All]" allUniqueName="[Range].[Iron (% Daily Value)].[All]" dimensionUniqueName="[Range]" displayFolder="" count="0" memberValueDatatype="20" unbalanced="0"/>
    <cacheHierarchy uniqueName="[Range 1].[Category]" caption="Category" attribute="1" defaultMemberUniqueName="[Range 1].[Category].[All]" allUniqueName="[Range 1].[Category].[All]" dimensionUniqueName="[Range 1]" displayFolder="" count="2" memberValueDatatype="130" unbalanced="0">
      <fieldsUsage count="2">
        <fieldUsage x="-1"/>
        <fieldUsage x="1"/>
      </fieldsUsage>
    </cacheHierarchy>
    <cacheHierarchy uniqueName="[Range 1].[Item]" caption="Item" attribute="1" defaultMemberUniqueName="[Range 1].[Item].[All]" allUniqueName="[Range 1].[Item].[All]" dimensionUniqueName="[Range 1]" displayFolder="" count="0" memberValueDatatype="130" unbalanced="0"/>
    <cacheHierarchy uniqueName="[Range 1].[Serving Size]" caption="Serving Size" attribute="1" defaultMemberUniqueName="[Range 1].[Serving Size].[All]" allUniqueName="[Range 1].[Serving Size].[All]" dimensionUniqueName="[Range 1]" displayFolder="" count="0" memberValueDatatype="130" unbalanced="0"/>
    <cacheHierarchy uniqueName="[Range 1].[Calories]" caption="Calories" attribute="1" defaultMemberUniqueName="[Range 1].[Calories].[All]" allUniqueName="[Range 1].[Calories].[All]" dimensionUniqueName="[Range 1]" displayFolder="" count="0" memberValueDatatype="20" unbalanced="0"/>
    <cacheHierarchy uniqueName="[Range 1].[Calories from Fat]" caption="Calories from Fat" attribute="1" defaultMemberUniqueName="[Range 1].[Calories from Fat].[All]" allUniqueName="[Range 1].[Calories from Fat].[All]" dimensionUniqueName="[Range 1]" displayFolder="" count="2" memberValueDatatype="20" unbalanced="0">
      <fieldsUsage count="2">
        <fieldUsage x="-1"/>
        <fieldUsage x="5"/>
      </fieldsUsage>
    </cacheHierarchy>
    <cacheHierarchy uniqueName="[Range 1].[FatCaloriesPercent]" caption="FatCaloriesPercent" attribute="1" defaultMemberUniqueName="[Range 1].[FatCaloriesPercent].[All]" allUniqueName="[Range 1].[FatCaloriesPercent].[All]" dimensionUniqueName="[Range 1]" displayFolder="" count="0" memberValueDatatype="5" unbalanced="0"/>
    <cacheHierarchy uniqueName="[Range 1].[Total Fat]" caption="Total Fat" attribute="1" defaultMemberUniqueName="[Range 1].[Total Fat].[All]" allUniqueName="[Range 1].[Total Fat].[All]" dimensionUniqueName="[Range 1]" displayFolder="" count="0" memberValueDatatype="5" unbalanced="0"/>
    <cacheHierarchy uniqueName="[Range 1].[Total Fat (% Daily Value)]" caption="Total Fat (% Daily Value)" attribute="1" defaultMemberUniqueName="[Range 1].[Total Fat (% Daily Value)].[All]" allUniqueName="[Range 1].[Total Fat (% Daily Value)].[All]" dimensionUniqueName="[Range 1]" displayFolder="" count="0" memberValueDatatype="20" unbalanced="0"/>
    <cacheHierarchy uniqueName="[Range 1].[Saturated Fat]" caption="Saturated Fat" attribute="1" defaultMemberUniqueName="[Range 1].[Saturated Fat].[All]" allUniqueName="[Range 1].[Saturated Fat].[All]" dimensionUniqueName="[Range 1]" displayFolder="" count="0" memberValueDatatype="5" unbalanced="0"/>
    <cacheHierarchy uniqueName="[Range 1].[Saturated Fat (% Daily Value)]" caption="Saturated Fat (% Daily Value)" attribute="1" defaultMemberUniqueName="[Range 1].[Saturated Fat (% Daily Value)].[All]" allUniqueName="[Range 1].[Saturated Fat (% Daily Value)].[All]" dimensionUniqueName="[Range 1]" displayFolder="" count="0" memberValueDatatype="20" unbalanced="0"/>
    <cacheHierarchy uniqueName="[Range 1].[Trans Fat]" caption="Trans Fat" attribute="1" defaultMemberUniqueName="[Range 1].[Trans Fat].[All]" allUniqueName="[Range 1].[Trans Fat].[All]" dimensionUniqueName="[Range 1]" displayFolder="" count="0" memberValueDatatype="5" unbalanced="0"/>
    <cacheHierarchy uniqueName="[Range 1].[Cholesterol]" caption="Cholesterol" attribute="1" defaultMemberUniqueName="[Range 1].[Cholesterol].[All]" allUniqueName="[Range 1].[Cholesterol].[All]" dimensionUniqueName="[Range 1]" displayFolder="" count="2" memberValueDatatype="20" unbalanced="0">
      <fieldsUsage count="2">
        <fieldUsage x="-1"/>
        <fieldUsage x="3"/>
      </fieldsUsage>
    </cacheHierarchy>
    <cacheHierarchy uniqueName="[Range 1].[Cholesterol (% Daily Value)]" caption="Cholesterol (% Daily Value)" attribute="1" defaultMemberUniqueName="[Range 1].[Cholesterol (% Daily Value)].[All]" allUniqueName="[Range 1].[Cholesterol (% Daily Value)].[All]" dimensionUniqueName="[Range 1]" displayFolder="" count="0" memberValueDatatype="20" unbalanced="0"/>
    <cacheHierarchy uniqueName="[Range 1].[Sodium]" caption="Sodium" attribute="1" defaultMemberUniqueName="[Range 1].[Sodium].[All]" allUniqueName="[Range 1].[Sodium].[All]" dimensionUniqueName="[Range 1]" displayFolder="" count="2" memberValueDatatype="20" unbalanced="0">
      <fieldsUsage count="2">
        <fieldUsage x="-1"/>
        <fieldUsage x="4"/>
      </fieldsUsage>
    </cacheHierarchy>
    <cacheHierarchy uniqueName="[Range 1].[Sodium (% Daily Value)]" caption="Sodium (% Daily Value)" attribute="1" defaultMemberUniqueName="[Range 1].[Sodium (% Daily Value)].[All]" allUniqueName="[Range 1].[Sodium (% Daily Value)].[All]" dimensionUniqueName="[Range 1]" displayFolder="" count="0" memberValueDatatype="20" unbalanced="0"/>
    <cacheHierarchy uniqueName="[Range 1].[Carbohydrates]" caption="Carbohydrates" attribute="1" defaultMemberUniqueName="[Range 1].[Carbohydrates].[All]" allUniqueName="[Range 1].[Carbohydrates].[All]" dimensionUniqueName="[Range 1]" displayFolder="" count="0" memberValueDatatype="20" unbalanced="0"/>
    <cacheHierarchy uniqueName="[Range 1].[Carbohydrates (% Daily Value)]" caption="Carbohydrates (% Daily Value)" attribute="1" defaultMemberUniqueName="[Range 1].[Carbohydrates (% Daily Value)].[All]" allUniqueName="[Range 1].[Carbohydrates (% Daily Value)].[All]" dimensionUniqueName="[Range 1]" displayFolder="" count="0" memberValueDatatype="20" unbalanced="0"/>
    <cacheHierarchy uniqueName="[Range 1].[Dietary Fiber]" caption="Dietary Fiber" attribute="1" defaultMemberUniqueName="[Range 1].[Dietary Fiber].[All]" allUniqueName="[Range 1].[Dietary Fiber].[All]" dimensionUniqueName="[Range 1]" displayFolder="" count="0" memberValueDatatype="20" unbalanced="0"/>
    <cacheHierarchy uniqueName="[Range 1].[Dietary Fiber (% Daily Value)]" caption="Dietary Fiber (% Daily Value)" attribute="1" defaultMemberUniqueName="[Range 1].[Dietary Fiber (% Daily Value)].[All]" allUniqueName="[Range 1].[Dietary Fiber (% Daily Value)].[All]" dimensionUniqueName="[Range 1]" displayFolder="" count="0" memberValueDatatype="20" unbalanced="0"/>
    <cacheHierarchy uniqueName="[Range 1].[Sugars]" caption="Sugars" attribute="1" defaultMemberUniqueName="[Range 1].[Sugars].[All]" allUniqueName="[Range 1].[Sugars].[All]" dimensionUniqueName="[Range 1]" displayFolder="" count="0" memberValueDatatype="20" unbalanced="0"/>
    <cacheHierarchy uniqueName="[Range 1].[Protein]" caption="Protein" attribute="1" defaultMemberUniqueName="[Range 1].[Protein].[All]" allUniqueName="[Range 1].[Protein].[All]" dimensionUniqueName="[Range 1]" displayFolder="" count="2" memberValueDatatype="20" unbalanced="0">
      <fieldsUsage count="2">
        <fieldUsage x="-1"/>
        <fieldUsage x="2"/>
      </fieldsUsage>
    </cacheHierarchy>
    <cacheHierarchy uniqueName="[Range 1].[Vitamin A (% Daily Value)]" caption="Vitamin A (% Daily Value)" attribute="1" defaultMemberUniqueName="[Range 1].[Vitamin A (% Daily Value)].[All]" allUniqueName="[Range 1].[Vitamin A (% Daily Value)].[All]" dimensionUniqueName="[Range 1]" displayFolder="" count="0" memberValueDatatype="20" unbalanced="0"/>
    <cacheHierarchy uniqueName="[Range 1].[Vitamin C (% Daily Value)]" caption="Vitamin C (% Daily Value)" attribute="1" defaultMemberUniqueName="[Range 1].[Vitamin C (% Daily Value)].[All]" allUniqueName="[Range 1].[Vitamin C (% Daily Value)].[All]" dimensionUniqueName="[Range 1]" displayFolder="" count="0" memberValueDatatype="20" unbalanced="0"/>
    <cacheHierarchy uniqueName="[Range 1].[Calcium (% Daily Value)]" caption="Calcium (% Daily Value)" attribute="1" defaultMemberUniqueName="[Range 1].[Calcium (% Daily Value)].[All]" allUniqueName="[Range 1].[Calcium (% Daily Value)].[All]" dimensionUniqueName="[Range 1]" displayFolder="" count="0" memberValueDatatype="20" unbalanced="0"/>
    <cacheHierarchy uniqueName="[Range 1].[Iron (% Daily Value)]" caption="Iron (% Daily Value)" attribute="1" defaultMemberUniqueName="[Range 1].[Iron (% Daily Value)].[All]" allUniqueName="[Range 1].[Iron (% Daily Value)].[All]" dimensionUniqueName="[Range 1]" displayFolder="" count="0" memberValueDatatype="20" unbalanced="0"/>
    <cacheHierarchy uniqueName="[Range 1].[HighNutrients]" caption="HighNutrients" attribute="1" defaultMemberUniqueName="[Range 1].[HighNutrients].[All]" allUniqueName="[Range 1].[HighNutrients].[All]" dimensionUniqueName="[Range 1]" displayFolder="" count="2" memberValueDatatype="130" unbalanced="0">
      <fieldsUsage count="2">
        <fieldUsage x="-1"/>
        <fieldUsage x="0"/>
      </fieldsUsage>
    </cacheHierarchy>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alories]" caption="Sum of Calories" measure="1" displayFolder="" measureGroup="Range" count="0" hidden="1">
      <extLst>
        <ext xmlns:x15="http://schemas.microsoft.com/office/spreadsheetml/2010/11/main" uri="{B97F6D7D-B522-45F9-BDA1-12C45D357490}">
          <x15:cacheHierarchy aggregatedColumn="3"/>
        </ext>
      </extLst>
    </cacheHierarchy>
    <cacheHierarchy uniqueName="[Measures].[Sum of Cholesterol (% Daily Value)]" caption="Sum of Cholesterol (% Daily Value)" measure="1" displayFolder="" measureGroup="Range" count="0" hidden="1">
      <extLst>
        <ext xmlns:x15="http://schemas.microsoft.com/office/spreadsheetml/2010/11/main" uri="{B97F6D7D-B522-45F9-BDA1-12C45D357490}">
          <x15:cacheHierarchy aggregatedColumn="11"/>
        </ext>
      </extLst>
    </cacheHierarchy>
    <cacheHierarchy uniqueName="[Measures].[Average of Cholesterol (% Daily Value)]" caption="Average of Cholesterol (% Daily Value)" measure="1" displayFolder="" measureGroup="Range" count="0" hidden="1">
      <extLst>
        <ext xmlns:x15="http://schemas.microsoft.com/office/spreadsheetml/2010/11/main" uri="{B97F6D7D-B522-45F9-BDA1-12C45D357490}">
          <x15:cacheHierarchy aggregatedColumn="11"/>
        </ext>
      </extLst>
    </cacheHierarchy>
    <cacheHierarchy uniqueName="[Measures].[Sum of Total Fat (% Daily Value)]" caption="Sum of Total Fat (% Daily Value)" measure="1" displayFolder="" measureGroup="Range" count="0" hidden="1">
      <extLst>
        <ext xmlns:x15="http://schemas.microsoft.com/office/spreadsheetml/2010/11/main" uri="{B97F6D7D-B522-45F9-BDA1-12C45D357490}">
          <x15:cacheHierarchy aggregatedColumn="6"/>
        </ext>
      </extLst>
    </cacheHierarchy>
    <cacheHierarchy uniqueName="[Measures].[Average of Total Fat (% Daily Value)]" caption="Average of Total Fat (% Daily Value)" measure="1" displayFolder="" measureGroup="Range" count="0" hidden="1">
      <extLst>
        <ext xmlns:x15="http://schemas.microsoft.com/office/spreadsheetml/2010/11/main" uri="{B97F6D7D-B522-45F9-BDA1-12C45D357490}">
          <x15:cacheHierarchy aggregatedColumn="6"/>
        </ext>
      </extLst>
    </cacheHierarchy>
    <cacheHierarchy uniqueName="[Measures].[Sum of Saturated Fat (% Daily Value)]" caption="Sum of Saturated Fat (% Daily Value)" measure="1" displayFolder="" measureGroup="Range" count="0" hidden="1">
      <extLst>
        <ext xmlns:x15="http://schemas.microsoft.com/office/spreadsheetml/2010/11/main" uri="{B97F6D7D-B522-45F9-BDA1-12C45D357490}">
          <x15:cacheHierarchy aggregatedColumn="8"/>
        </ext>
      </extLst>
    </cacheHierarchy>
    <cacheHierarchy uniqueName="[Measures].[Sum of Sodium (% Daily Value)]" caption="Sum of Sodium (% Daily Value)" measure="1" displayFolder="" measureGroup="Range" count="0" hidden="1">
      <extLst>
        <ext xmlns:x15="http://schemas.microsoft.com/office/spreadsheetml/2010/11/main" uri="{B97F6D7D-B522-45F9-BDA1-12C45D357490}">
          <x15:cacheHierarchy aggregatedColumn="13"/>
        </ext>
      </extLst>
    </cacheHierarchy>
    <cacheHierarchy uniqueName="[Measures].[Sum of Carbohydrates (% Daily Value)]" caption="Sum of Carbohydrates (% Daily Value)" measure="1" displayFolder="" measureGroup="Range" count="0" hidden="1">
      <extLst>
        <ext xmlns:x15="http://schemas.microsoft.com/office/spreadsheetml/2010/11/main" uri="{B97F6D7D-B522-45F9-BDA1-12C45D357490}">
          <x15:cacheHierarchy aggregatedColumn="15"/>
        </ext>
      </extLst>
    </cacheHierarchy>
    <cacheHierarchy uniqueName="[Measures].[Sum of Dietary Fiber (% Daily Value)]" caption="Sum of Dietary Fiber (% Daily Value)" measure="1" displayFolder="" measureGroup="Range" count="0" hidden="1">
      <extLst>
        <ext xmlns:x15="http://schemas.microsoft.com/office/spreadsheetml/2010/11/main" uri="{B97F6D7D-B522-45F9-BDA1-12C45D357490}">
          <x15:cacheHierarchy aggregatedColumn="17"/>
        </ext>
      </extLst>
    </cacheHierarchy>
    <cacheHierarchy uniqueName="[Measures].[Sum of Vitamin A (% Daily Value)]" caption="Sum of Vitamin A (% Daily Value)" measure="1" displayFolder="" measureGroup="Range" count="0" hidden="1">
      <extLst>
        <ext xmlns:x15="http://schemas.microsoft.com/office/spreadsheetml/2010/11/main" uri="{B97F6D7D-B522-45F9-BDA1-12C45D357490}">
          <x15:cacheHierarchy aggregatedColumn="20"/>
        </ext>
      </extLst>
    </cacheHierarchy>
    <cacheHierarchy uniqueName="[Measures].[Sum of Vitamin C (% Daily Value)]" caption="Sum of Vitamin C (% Daily Value)" measure="1" displayFolder="" measureGroup="Range" count="0" hidden="1">
      <extLst>
        <ext xmlns:x15="http://schemas.microsoft.com/office/spreadsheetml/2010/11/main" uri="{B97F6D7D-B522-45F9-BDA1-12C45D357490}">
          <x15:cacheHierarchy aggregatedColumn="21"/>
        </ext>
      </extLst>
    </cacheHierarchy>
    <cacheHierarchy uniqueName="[Measures].[Sum of Calcium (% Daily Value)]" caption="Sum of Calcium (% Daily Value)" measure="1" displayFolder="" measureGroup="Range" count="0" hidden="1">
      <extLst>
        <ext xmlns:x15="http://schemas.microsoft.com/office/spreadsheetml/2010/11/main" uri="{B97F6D7D-B522-45F9-BDA1-12C45D357490}">
          <x15:cacheHierarchy aggregatedColumn="22"/>
        </ext>
      </extLst>
    </cacheHierarchy>
    <cacheHierarchy uniqueName="[Measures].[Sum of Iron (% Daily Value)]" caption="Sum of Iron (% Daily Value)" measure="1" displayFolder="" measureGroup="Range" count="0" hidden="1">
      <extLst>
        <ext xmlns:x15="http://schemas.microsoft.com/office/spreadsheetml/2010/11/main" uri="{B97F6D7D-B522-45F9-BDA1-12C45D357490}">
          <x15:cacheHierarchy aggregatedColumn="23"/>
        </ext>
      </extLst>
    </cacheHierarchy>
    <cacheHierarchy uniqueName="[Measures].[Sum of Sugars]" caption="Sum of Sugars" measure="1" displayFolder="" measureGroup="Range" count="0" hidden="1">
      <extLst>
        <ext xmlns:x15="http://schemas.microsoft.com/office/spreadsheetml/2010/11/main" uri="{B97F6D7D-B522-45F9-BDA1-12C45D357490}">
          <x15:cacheHierarchy aggregatedColumn="18"/>
        </ext>
      </extLst>
    </cacheHierarchy>
    <cacheHierarchy uniqueName="[Measures].[Sum of Protein]" caption="Sum of Protein" measure="1" displayFolder="" measureGroup="Range" count="0" hidden="1">
      <extLst>
        <ext xmlns:x15="http://schemas.microsoft.com/office/spreadsheetml/2010/11/main" uri="{B97F6D7D-B522-45F9-BDA1-12C45D357490}">
          <x15:cacheHierarchy aggregatedColumn="19"/>
        </ext>
      </extLst>
    </cacheHierarchy>
    <cacheHierarchy uniqueName="[Measures].[Sum of Calories from Fat]" caption="Sum of Calories from Fat" measure="1" displayFolder="" measureGroup="Range" count="0" hidden="1">
      <extLst>
        <ext xmlns:x15="http://schemas.microsoft.com/office/spreadsheetml/2010/11/main" uri="{B97F6D7D-B522-45F9-BDA1-12C45D357490}">
          <x15:cacheHierarchy aggregatedColumn="4"/>
        </ext>
      </extLst>
    </cacheHierarchy>
    <cacheHierarchy uniqueName="[Measures].[Sum of Vitamin A (% Daily Value) 2]" caption="Sum of Vitamin A (% Daily Value) 2" measure="1" displayFolder="" measureGroup="Range 1" count="0" hidden="1">
      <extLst>
        <ext xmlns:x15="http://schemas.microsoft.com/office/spreadsheetml/2010/11/main" uri="{B97F6D7D-B522-45F9-BDA1-12C45D357490}">
          <x15:cacheHierarchy aggregatedColumn="45"/>
        </ext>
      </extLst>
    </cacheHierarchy>
    <cacheHierarchy uniqueName="[Measures].[Sum of Calories 2]" caption="Sum of Calories 2" measure="1" displayFolder="" measureGroup="Range 1" count="0" hidden="1">
      <extLst>
        <ext xmlns:x15="http://schemas.microsoft.com/office/spreadsheetml/2010/11/main" uri="{B97F6D7D-B522-45F9-BDA1-12C45D357490}">
          <x15:cacheHierarchy aggregatedColumn="27"/>
        </ext>
      </extLst>
    </cacheHierarchy>
    <cacheHierarchy uniqueName="[Measures].[Sum of Sugars 2]" caption="Sum of Sugars 2" measure="1" displayFolder="" measureGroup="Range 1" count="0" hidden="1">
      <extLst>
        <ext xmlns:x15="http://schemas.microsoft.com/office/spreadsheetml/2010/11/main" uri="{B97F6D7D-B522-45F9-BDA1-12C45D357490}">
          <x15:cacheHierarchy aggregatedColumn="43"/>
        </ext>
      </extLst>
    </cacheHierarchy>
    <cacheHierarchy uniqueName="[Measures].[Sum of Sodium]" caption="Sum of Sodium" measure="1" displayFolder="" measureGroup="Range 1" count="0" hidden="1">
      <extLst>
        <ext xmlns:x15="http://schemas.microsoft.com/office/spreadsheetml/2010/11/main" uri="{B97F6D7D-B522-45F9-BDA1-12C45D357490}">
          <x15:cacheHierarchy aggregatedColumn="37"/>
        </ext>
      </extLst>
    </cacheHierarchy>
    <cacheHierarchy uniqueName="[Measures].[Sum of Saturated Fat (% Daily Value) 2]" caption="Sum of Saturated Fat (% Daily Value) 2" measure="1" displayFolder="" measureGroup="Range 1" count="0" hidden="1">
      <extLst>
        <ext xmlns:x15="http://schemas.microsoft.com/office/spreadsheetml/2010/11/main" uri="{B97F6D7D-B522-45F9-BDA1-12C45D357490}">
          <x15:cacheHierarchy aggregatedColumn="33"/>
        </ext>
      </extLst>
    </cacheHierarchy>
    <cacheHierarchy uniqueName="[Measures].[Sum of FatCaloriesPercent]" caption="Sum of FatCaloriesPercent" measure="1" displayFolder="" measureGroup="Range 1" count="0" hidden="1">
      <extLst>
        <ext xmlns:x15="http://schemas.microsoft.com/office/spreadsheetml/2010/11/main" uri="{B97F6D7D-B522-45F9-BDA1-12C45D357490}">
          <x15:cacheHierarchy aggregatedColumn="29"/>
        </ext>
      </extLst>
    </cacheHierarchy>
    <cacheHierarchy uniqueName="[Measures].[Sum of Calories from Fat 2]" caption="Sum of Calories from Fat 2" measure="1" displayFolder="" measureGroup="Range 1" count="0" hidden="1">
      <extLst>
        <ext xmlns:x15="http://schemas.microsoft.com/office/spreadsheetml/2010/11/main" uri="{B97F6D7D-B522-45F9-BDA1-12C45D357490}">
          <x15:cacheHierarchy aggregatedColumn="28"/>
        </ext>
      </extLst>
    </cacheHierarchy>
    <cacheHierarchy uniqueName="[Measures].[Sum of Total Fat (% Daily Value) 2]" caption="Sum of Total Fat (% Daily Value) 2" measure="1" displayFolder="" measureGroup="Range 1" count="0" hidden="1">
      <extLst>
        <ext xmlns:x15="http://schemas.microsoft.com/office/spreadsheetml/2010/11/main" uri="{B97F6D7D-B522-45F9-BDA1-12C45D357490}">
          <x15:cacheHierarchy aggregatedColumn="31"/>
        </ext>
      </extLst>
    </cacheHierarchy>
    <cacheHierarchy uniqueName="[Measures].[Sum of Total Fat]" caption="Sum of Total Fat" measure="1" displayFolder="" measureGroup="Range 1" count="0" hidden="1">
      <extLst>
        <ext xmlns:x15="http://schemas.microsoft.com/office/spreadsheetml/2010/11/main" uri="{B97F6D7D-B522-45F9-BDA1-12C45D357490}">
          <x15:cacheHierarchy aggregatedColumn="30"/>
        </ext>
      </extLst>
    </cacheHierarchy>
    <cacheHierarchy uniqueName="[Measures].[Sum of Saturated Fat]" caption="Sum of Saturated Fat" measure="1" displayFolder="" measureGroup="Range 1" count="0" hidden="1">
      <extLst>
        <ext xmlns:x15="http://schemas.microsoft.com/office/spreadsheetml/2010/11/main" uri="{B97F6D7D-B522-45F9-BDA1-12C45D357490}">
          <x15:cacheHierarchy aggregatedColumn="32"/>
        </ext>
      </extLst>
    </cacheHierarchy>
    <cacheHierarchy uniqueName="[Measures].[Sum of Protein 2]" caption="Sum of Protein 2" measure="1" displayFolder="" measureGroup="Range 1" count="0" hidden="1">
      <extLst>
        <ext xmlns:x15="http://schemas.microsoft.com/office/spreadsheetml/2010/11/main" uri="{B97F6D7D-B522-45F9-BDA1-12C45D357490}">
          <x15:cacheHierarchy aggregatedColumn="44"/>
        </ext>
      </extLst>
    </cacheHierarchy>
    <cacheHierarchy uniqueName="[Measures].[Sum of Cholesterol]" caption="Sum of Cholesterol" measure="1" displayFolder="" measureGroup="Range 1" count="0" hidden="1">
      <extLst>
        <ext xmlns:x15="http://schemas.microsoft.com/office/spreadsheetml/2010/11/main" uri="{B97F6D7D-B522-45F9-BDA1-12C45D357490}">
          <x15:cacheHierarchy aggregatedColumn="35"/>
        </ext>
      </extLst>
    </cacheHierarchy>
    <cacheHierarchy uniqueName="[Measures].[Count of HighNutrients]" caption="Count of HighNutrients" measure="1" displayFolder="" measureGroup="Range 1" count="0" oneField="1" hidden="1">
      <fieldsUsage count="1">
        <fieldUsage x="6"/>
      </fieldsUsage>
      <extLst>
        <ext xmlns:x15="http://schemas.microsoft.com/office/spreadsheetml/2010/11/main" uri="{B97F6D7D-B522-45F9-BDA1-12C45D357490}">
          <x15:cacheHierarchy aggregatedColumn="49"/>
        </ext>
      </extLst>
    </cacheHierarchy>
    <cacheHierarchy uniqueName="[Measures].[Sum of Carbohydrates]" caption="Sum of Carbohydrates" measure="1" displayFolder="" measureGroup="Range 1" count="0" hidden="1">
      <extLst>
        <ext xmlns:x15="http://schemas.microsoft.com/office/spreadsheetml/2010/11/main" uri="{B97F6D7D-B522-45F9-BDA1-12C45D357490}">
          <x15:cacheHierarchy aggregatedColumn="39"/>
        </ext>
      </extLst>
    </cacheHierarchy>
    <cacheHierarchy uniqueName="[Measures].[Sum of Carbohydrates (% Daily Value) 2]" caption="Sum of Carbohydrates (% Daily Value) 2" measure="1" displayFolder="" measureGroup="Range 1" count="0" hidden="1">
      <extLst>
        <ext xmlns:x15="http://schemas.microsoft.com/office/spreadsheetml/2010/11/main" uri="{B97F6D7D-B522-45F9-BDA1-12C45D357490}">
          <x15:cacheHierarchy aggregatedColumn="40"/>
        </ext>
      </extLst>
    </cacheHierarchy>
    <cacheHierarchy uniqueName="[Measures].[Count of Category]" caption="Count of Category" measure="1" displayFolder="" measureGroup="Range"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yabini Venkatesan" refreshedDate="45106.540680902777" backgroundQuery="1" createdVersion="3" refreshedVersion="8" minRefreshableVersion="3" recordCount="0" supportSubquery="1" supportAdvancedDrill="1" xr:uid="{0FC7398D-FCFF-481C-B16D-FC8E1C24FB95}">
  <cacheSource type="external" connectionId="1">
    <extLst>
      <ext xmlns:x14="http://schemas.microsoft.com/office/spreadsheetml/2009/9/main" uri="{F057638F-6D5F-4e77-A914-E7F072B9BCA8}">
        <x14:sourceConnection name="ThisWorkbookDataModel"/>
      </ext>
    </extLst>
  </cacheSource>
  <cacheFields count="0"/>
  <cacheHierarchies count="85">
    <cacheHierarchy uniqueName="[Range].[Category]" caption="Category" attribute="1" defaultMemberUniqueName="[Range].[Category].[All]" allUniqueName="[Range].[Category].[All]" dimensionUniqueName="[Range]" displayFolder="" count="2" memberValueDatatype="130" unbalanced="0"/>
    <cacheHierarchy uniqueName="[Range].[Item]" caption="Item" attribute="1" defaultMemberUniqueName="[Range].[Item].[All]" allUniqueName="[Range].[Item].[All]" dimensionUniqueName="[Range]" displayFolder="" count="0" memberValueDatatype="130" unbalanced="0"/>
    <cacheHierarchy uniqueName="[Range].[Serving Size]" caption="Serving Size" attribute="1" defaultMemberUniqueName="[Range].[Serving Size].[All]" allUniqueName="[Range].[Serving Size].[All]" dimensionUniqueName="[Range]" displayFolder="" count="0" memberValueDatatype="130" unbalanced="0"/>
    <cacheHierarchy uniqueName="[Range].[Calories]" caption="Calories" attribute="1" defaultMemberUniqueName="[Range].[Calories].[All]" allUniqueName="[Range].[Calories].[All]" dimensionUniqueName="[Range]" displayFolder="" count="0" memberValueDatatype="20" unbalanced="0"/>
    <cacheHierarchy uniqueName="[Range].[Calories from Fat]" caption="Calories from Fat" attribute="1" defaultMemberUniqueName="[Range].[Calories from Fat].[All]" allUniqueName="[Range].[Calories from Fat].[All]" dimensionUniqueName="[Range]" displayFolder="" count="0" memberValueDatatype="20" unbalanced="0"/>
    <cacheHierarchy uniqueName="[Range].[Total Fat]" caption="Total Fat" attribute="1" defaultMemberUniqueName="[Range].[Total Fat].[All]" allUniqueName="[Range].[Total Fat].[All]" dimensionUniqueName="[Range]" displayFolder="" count="0" memberValueDatatype="5" unbalanced="0"/>
    <cacheHierarchy uniqueName="[Range].[Total Fat (% Daily Value)]" caption="Total Fat (% Daily Value)" attribute="1" defaultMemberUniqueName="[Range].[Total Fat (% Daily Value)].[All]" allUniqueName="[Range].[Total Fat (% Daily Value)].[All]" dimensionUniqueName="[Range]" displayFolder="" count="0" memberValueDatatype="20" unbalanced="0"/>
    <cacheHierarchy uniqueName="[Range].[Saturated Fat]" caption="Saturated Fat" attribute="1" defaultMemberUniqueName="[Range].[Saturated Fat].[All]" allUniqueName="[Range].[Saturated Fat].[All]" dimensionUniqueName="[Range]" displayFolder="" count="0" memberValueDatatype="5" unbalanced="0"/>
    <cacheHierarchy uniqueName="[Range].[Saturated Fat (% Daily Value)]" caption="Saturated Fat (% Daily Value)" attribute="1" defaultMemberUniqueName="[Range].[Saturated Fat (% Daily Value)].[All]" allUniqueName="[Range].[Saturated Fat (% Daily Value)].[All]" dimensionUniqueName="[Range]" displayFolder="" count="0" memberValueDatatype="20" unbalanced="0"/>
    <cacheHierarchy uniqueName="[Range].[Trans Fat]" caption="Trans Fat" attribute="1" defaultMemberUniqueName="[Range].[Trans Fat].[All]" allUniqueName="[Range].[Trans Fat].[All]" dimensionUniqueName="[Range]" displayFolder="" count="0" memberValueDatatype="5" unbalanced="0"/>
    <cacheHierarchy uniqueName="[Range].[Cholesterol]" caption="Cholesterol" attribute="1" defaultMemberUniqueName="[Range].[Cholesterol].[All]" allUniqueName="[Range].[Cholesterol].[All]" dimensionUniqueName="[Range]" displayFolder="" count="0" memberValueDatatype="20" unbalanced="0"/>
    <cacheHierarchy uniqueName="[Range].[Cholesterol (% Daily Value)]" caption="Cholesterol (% Daily Value)" attribute="1" defaultMemberUniqueName="[Range].[Cholesterol (% Daily Value)].[All]" allUniqueName="[Range].[Cholesterol (% Daily Value)].[All]" dimensionUniqueName="[Range]" displayFolder="" count="0" memberValueDatatype="20" unbalanced="0"/>
    <cacheHierarchy uniqueName="[Range].[Sodium]" caption="Sodium" attribute="1" defaultMemberUniqueName="[Range].[Sodium].[All]" allUniqueName="[Range].[Sodium].[All]" dimensionUniqueName="[Range]" displayFolder="" count="0" memberValueDatatype="20" unbalanced="0"/>
    <cacheHierarchy uniqueName="[Range].[Sodium (% Daily Value)]" caption="Sodium (% Daily Value)" attribute="1" defaultMemberUniqueName="[Range].[Sodium (% Daily Value)].[All]" allUniqueName="[Range].[Sodium (% Daily Value)].[All]" dimensionUniqueName="[Range]" displayFolder="" count="0" memberValueDatatype="20" unbalanced="0"/>
    <cacheHierarchy uniqueName="[Range].[Carbohydrates]" caption="Carbohydrates" attribute="1" defaultMemberUniqueName="[Range].[Carbohydrates].[All]" allUniqueName="[Range].[Carbohydrates].[All]" dimensionUniqueName="[Range]" displayFolder="" count="0" memberValueDatatype="20" unbalanced="0"/>
    <cacheHierarchy uniqueName="[Range].[Carbohydrates (% Daily Value)]" caption="Carbohydrates (% Daily Value)" attribute="1" defaultMemberUniqueName="[Range].[Carbohydrates (% Daily Value)].[All]" allUniqueName="[Range].[Carbohydrates (% Daily Value)].[All]" dimensionUniqueName="[Range]" displayFolder="" count="0" memberValueDatatype="20" unbalanced="0"/>
    <cacheHierarchy uniqueName="[Range].[Dietary Fiber]" caption="Dietary Fiber" attribute="1" defaultMemberUniqueName="[Range].[Dietary Fiber].[All]" allUniqueName="[Range].[Dietary Fiber].[All]" dimensionUniqueName="[Range]" displayFolder="" count="0" memberValueDatatype="20" unbalanced="0"/>
    <cacheHierarchy uniqueName="[Range].[Dietary Fiber (% Daily Value)]" caption="Dietary Fiber (% Daily Value)" attribute="1" defaultMemberUniqueName="[Range].[Dietary Fiber (% Daily Value)].[All]" allUniqueName="[Range].[Dietary Fiber (% Daily Value)].[All]" dimensionUniqueName="[Range]" displayFolder="" count="0" memberValueDatatype="20" unbalanced="0"/>
    <cacheHierarchy uniqueName="[Range].[Sugars]" caption="Sugars" attribute="1" defaultMemberUniqueName="[Range].[Sugars].[All]" allUniqueName="[Range].[Sugars].[All]" dimensionUniqueName="[Range]" displayFolder="" count="0" memberValueDatatype="20" unbalanced="0"/>
    <cacheHierarchy uniqueName="[Range].[Protein]" caption="Protein" attribute="1" defaultMemberUniqueName="[Range].[Protein].[All]" allUniqueName="[Range].[Protein].[All]" dimensionUniqueName="[Range]" displayFolder="" count="0" memberValueDatatype="20" unbalanced="0"/>
    <cacheHierarchy uniqueName="[Range].[Vitamin A (% Daily Value)]" caption="Vitamin A (% Daily Value)" attribute="1" defaultMemberUniqueName="[Range].[Vitamin A (% Daily Value)].[All]" allUniqueName="[Range].[Vitamin A (% Daily Value)].[All]" dimensionUniqueName="[Range]" displayFolder="" count="0" memberValueDatatype="20" unbalanced="0"/>
    <cacheHierarchy uniqueName="[Range].[Vitamin C (% Daily Value)]" caption="Vitamin C (% Daily Value)" attribute="1" defaultMemberUniqueName="[Range].[Vitamin C (% Daily Value)].[All]" allUniqueName="[Range].[Vitamin C (% Daily Value)].[All]" dimensionUniqueName="[Range]" displayFolder="" count="0" memberValueDatatype="20" unbalanced="0"/>
    <cacheHierarchy uniqueName="[Range].[Calcium (% Daily Value)]" caption="Calcium (% Daily Value)" attribute="1" defaultMemberUniqueName="[Range].[Calcium (% Daily Value)].[All]" allUniqueName="[Range].[Calcium (% Daily Value)].[All]" dimensionUniqueName="[Range]" displayFolder="" count="0" memberValueDatatype="20" unbalanced="0"/>
    <cacheHierarchy uniqueName="[Range].[Iron (% Daily Value)]" caption="Iron (% Daily Value)" attribute="1" defaultMemberUniqueName="[Range].[Iron (% Daily Value)].[All]" allUniqueName="[Range].[Iron (% Daily Value)].[All]" dimensionUniqueName="[Range]" displayFolder="" count="0" memberValueDatatype="20" unbalanced="0"/>
    <cacheHierarchy uniqueName="[Range 1].[Category]" caption="Category" attribute="1" defaultMemberUniqueName="[Range 1].[Category].[All]" allUniqueName="[Range 1].[Category].[All]" dimensionUniqueName="[Range 1]" displayFolder="" count="0" memberValueDatatype="130" unbalanced="0"/>
    <cacheHierarchy uniqueName="[Range 1].[Item]" caption="Item" attribute="1" defaultMemberUniqueName="[Range 1].[Item].[All]" allUniqueName="[Range 1].[Item].[All]" dimensionUniqueName="[Range 1]" displayFolder="" count="0" memberValueDatatype="130" unbalanced="0"/>
    <cacheHierarchy uniqueName="[Range 1].[Serving Size]" caption="Serving Size" attribute="1" defaultMemberUniqueName="[Range 1].[Serving Size].[All]" allUniqueName="[Range 1].[Serving Size].[All]" dimensionUniqueName="[Range 1]" displayFolder="" count="0" memberValueDatatype="130" unbalanced="0"/>
    <cacheHierarchy uniqueName="[Range 1].[Calories]" caption="Calories" attribute="1" defaultMemberUniqueName="[Range 1].[Calories].[All]" allUniqueName="[Range 1].[Calories].[All]" dimensionUniqueName="[Range 1]" displayFolder="" count="0" memberValueDatatype="20" unbalanced="0"/>
    <cacheHierarchy uniqueName="[Range 1].[Calories from Fat]" caption="Calories from Fat" attribute="1" defaultMemberUniqueName="[Range 1].[Calories from Fat].[All]" allUniqueName="[Range 1].[Calories from Fat].[All]" dimensionUniqueName="[Range 1]" displayFolder="" count="0" memberValueDatatype="20" unbalanced="0"/>
    <cacheHierarchy uniqueName="[Range 1].[FatCaloriesPercent]" caption="FatCaloriesPercent" attribute="1" defaultMemberUniqueName="[Range 1].[FatCaloriesPercent].[All]" allUniqueName="[Range 1].[FatCaloriesPercent].[All]" dimensionUniqueName="[Range 1]" displayFolder="" count="0" memberValueDatatype="5" unbalanced="0"/>
    <cacheHierarchy uniqueName="[Range 1].[Total Fat]" caption="Total Fat" attribute="1" defaultMemberUniqueName="[Range 1].[Total Fat].[All]" allUniqueName="[Range 1].[Total Fat].[All]" dimensionUniqueName="[Range 1]" displayFolder="" count="0" memberValueDatatype="5" unbalanced="0"/>
    <cacheHierarchy uniqueName="[Range 1].[Total Fat (% Daily Value)]" caption="Total Fat (% Daily Value)" attribute="1" defaultMemberUniqueName="[Range 1].[Total Fat (% Daily Value)].[All]" allUniqueName="[Range 1].[Total Fat (% Daily Value)].[All]" dimensionUniqueName="[Range 1]" displayFolder="" count="0" memberValueDatatype="20" unbalanced="0"/>
    <cacheHierarchy uniqueName="[Range 1].[Saturated Fat]" caption="Saturated Fat" attribute="1" defaultMemberUniqueName="[Range 1].[Saturated Fat].[All]" allUniqueName="[Range 1].[Saturated Fat].[All]" dimensionUniqueName="[Range 1]" displayFolder="" count="0" memberValueDatatype="5" unbalanced="0"/>
    <cacheHierarchy uniqueName="[Range 1].[Saturated Fat (% Daily Value)]" caption="Saturated Fat (% Daily Value)" attribute="1" defaultMemberUniqueName="[Range 1].[Saturated Fat (% Daily Value)].[All]" allUniqueName="[Range 1].[Saturated Fat (% Daily Value)].[All]" dimensionUniqueName="[Range 1]" displayFolder="" count="0" memberValueDatatype="20" unbalanced="0"/>
    <cacheHierarchy uniqueName="[Range 1].[Trans Fat]" caption="Trans Fat" attribute="1" defaultMemberUniqueName="[Range 1].[Trans Fat].[All]" allUniqueName="[Range 1].[Trans Fat].[All]" dimensionUniqueName="[Range 1]" displayFolder="" count="0" memberValueDatatype="5" unbalanced="0"/>
    <cacheHierarchy uniqueName="[Range 1].[Cholesterol]" caption="Cholesterol" attribute="1" defaultMemberUniqueName="[Range 1].[Cholesterol].[All]" allUniqueName="[Range 1].[Cholesterol].[All]" dimensionUniqueName="[Range 1]" displayFolder="" count="0" memberValueDatatype="20" unbalanced="0"/>
    <cacheHierarchy uniqueName="[Range 1].[Cholesterol (% Daily Value)]" caption="Cholesterol (% Daily Value)" attribute="1" defaultMemberUniqueName="[Range 1].[Cholesterol (% Daily Value)].[All]" allUniqueName="[Range 1].[Cholesterol (% Daily Value)].[All]" dimensionUniqueName="[Range 1]" displayFolder="" count="0" memberValueDatatype="20" unbalanced="0"/>
    <cacheHierarchy uniqueName="[Range 1].[Sodium]" caption="Sodium" attribute="1" defaultMemberUniqueName="[Range 1].[Sodium].[All]" allUniqueName="[Range 1].[Sodium].[All]" dimensionUniqueName="[Range 1]" displayFolder="" count="0" memberValueDatatype="20" unbalanced="0"/>
    <cacheHierarchy uniqueName="[Range 1].[Sodium (% Daily Value)]" caption="Sodium (% Daily Value)" attribute="1" defaultMemberUniqueName="[Range 1].[Sodium (% Daily Value)].[All]" allUniqueName="[Range 1].[Sodium (% Daily Value)].[All]" dimensionUniqueName="[Range 1]" displayFolder="" count="0" memberValueDatatype="20" unbalanced="0"/>
    <cacheHierarchy uniqueName="[Range 1].[Carbohydrates]" caption="Carbohydrates" attribute="1" defaultMemberUniqueName="[Range 1].[Carbohydrates].[All]" allUniqueName="[Range 1].[Carbohydrates].[All]" dimensionUniqueName="[Range 1]" displayFolder="" count="0" memberValueDatatype="20" unbalanced="0"/>
    <cacheHierarchy uniqueName="[Range 1].[Carbohydrates (% Daily Value)]" caption="Carbohydrates (% Daily Value)" attribute="1" defaultMemberUniqueName="[Range 1].[Carbohydrates (% Daily Value)].[All]" allUniqueName="[Range 1].[Carbohydrates (% Daily Value)].[All]" dimensionUniqueName="[Range 1]" displayFolder="" count="0" memberValueDatatype="20" unbalanced="0"/>
    <cacheHierarchy uniqueName="[Range 1].[Dietary Fiber]" caption="Dietary Fiber" attribute="1" defaultMemberUniqueName="[Range 1].[Dietary Fiber].[All]" allUniqueName="[Range 1].[Dietary Fiber].[All]" dimensionUniqueName="[Range 1]" displayFolder="" count="0" memberValueDatatype="20" unbalanced="0"/>
    <cacheHierarchy uniqueName="[Range 1].[Dietary Fiber (% Daily Value)]" caption="Dietary Fiber (% Daily Value)" attribute="1" defaultMemberUniqueName="[Range 1].[Dietary Fiber (% Daily Value)].[All]" allUniqueName="[Range 1].[Dietary Fiber (% Daily Value)].[All]" dimensionUniqueName="[Range 1]" displayFolder="" count="0" memberValueDatatype="20" unbalanced="0"/>
    <cacheHierarchy uniqueName="[Range 1].[Sugars]" caption="Sugars" attribute="1" defaultMemberUniqueName="[Range 1].[Sugars].[All]" allUniqueName="[Range 1].[Sugars].[All]" dimensionUniqueName="[Range 1]" displayFolder="" count="0" memberValueDatatype="20" unbalanced="0"/>
    <cacheHierarchy uniqueName="[Range 1].[Protein]" caption="Protein" attribute="1" defaultMemberUniqueName="[Range 1].[Protein].[All]" allUniqueName="[Range 1].[Protein].[All]" dimensionUniqueName="[Range 1]" displayFolder="" count="0" memberValueDatatype="20" unbalanced="0"/>
    <cacheHierarchy uniqueName="[Range 1].[Vitamin A (% Daily Value)]" caption="Vitamin A (% Daily Value)" attribute="1" defaultMemberUniqueName="[Range 1].[Vitamin A (% Daily Value)].[All]" allUniqueName="[Range 1].[Vitamin A (% Daily Value)].[All]" dimensionUniqueName="[Range 1]" displayFolder="" count="0" memberValueDatatype="20" unbalanced="0"/>
    <cacheHierarchy uniqueName="[Range 1].[Vitamin C (% Daily Value)]" caption="Vitamin C (% Daily Value)" attribute="1" defaultMemberUniqueName="[Range 1].[Vitamin C (% Daily Value)].[All]" allUniqueName="[Range 1].[Vitamin C (% Daily Value)].[All]" dimensionUniqueName="[Range 1]" displayFolder="" count="0" memberValueDatatype="20" unbalanced="0"/>
    <cacheHierarchy uniqueName="[Range 1].[Calcium (% Daily Value)]" caption="Calcium (% Daily Value)" attribute="1" defaultMemberUniqueName="[Range 1].[Calcium (% Daily Value)].[All]" allUniqueName="[Range 1].[Calcium (% Daily Value)].[All]" dimensionUniqueName="[Range 1]" displayFolder="" count="0" memberValueDatatype="20" unbalanced="0"/>
    <cacheHierarchy uniqueName="[Range 1].[Iron (% Daily Value)]" caption="Iron (% Daily Value)" attribute="1" defaultMemberUniqueName="[Range 1].[Iron (% Daily Value)].[All]" allUniqueName="[Range 1].[Iron (% Daily Value)].[All]" dimensionUniqueName="[Range 1]" displayFolder="" count="0" memberValueDatatype="20" unbalanced="0"/>
    <cacheHierarchy uniqueName="[Range 1].[HighNutrients]" caption="HighNutrients" attribute="1" defaultMemberUniqueName="[Range 1].[HighNutrients].[All]" allUniqueName="[Range 1].[HighNutrients].[All]" dimensionUniqueName="[Range 1]" displayFolder="" count="0" memberValueDatatype="13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alories]" caption="Sum of Calories" measure="1" displayFolder="" measureGroup="Range" count="0" hidden="1">
      <extLst>
        <ext xmlns:x15="http://schemas.microsoft.com/office/spreadsheetml/2010/11/main" uri="{B97F6D7D-B522-45F9-BDA1-12C45D357490}">
          <x15:cacheHierarchy aggregatedColumn="3"/>
        </ext>
      </extLst>
    </cacheHierarchy>
    <cacheHierarchy uniqueName="[Measures].[Sum of Cholesterol (% Daily Value)]" caption="Sum of Cholesterol (% Daily Value)" measure="1" displayFolder="" measureGroup="Range" count="0" hidden="1">
      <extLst>
        <ext xmlns:x15="http://schemas.microsoft.com/office/spreadsheetml/2010/11/main" uri="{B97F6D7D-B522-45F9-BDA1-12C45D357490}">
          <x15:cacheHierarchy aggregatedColumn="11"/>
        </ext>
      </extLst>
    </cacheHierarchy>
    <cacheHierarchy uniqueName="[Measures].[Average of Cholesterol (% Daily Value)]" caption="Average of Cholesterol (% Daily Value)" measure="1" displayFolder="" measureGroup="Range" count="0" hidden="1">
      <extLst>
        <ext xmlns:x15="http://schemas.microsoft.com/office/spreadsheetml/2010/11/main" uri="{B97F6D7D-B522-45F9-BDA1-12C45D357490}">
          <x15:cacheHierarchy aggregatedColumn="11"/>
        </ext>
      </extLst>
    </cacheHierarchy>
    <cacheHierarchy uniqueName="[Measures].[Sum of Total Fat (% Daily Value)]" caption="Sum of Total Fat (% Daily Value)" measure="1" displayFolder="" measureGroup="Range" count="0" hidden="1">
      <extLst>
        <ext xmlns:x15="http://schemas.microsoft.com/office/spreadsheetml/2010/11/main" uri="{B97F6D7D-B522-45F9-BDA1-12C45D357490}">
          <x15:cacheHierarchy aggregatedColumn="6"/>
        </ext>
      </extLst>
    </cacheHierarchy>
    <cacheHierarchy uniqueName="[Measures].[Average of Total Fat (% Daily Value)]" caption="Average of Total Fat (% Daily Value)" measure="1" displayFolder="" measureGroup="Range" count="0" hidden="1">
      <extLst>
        <ext xmlns:x15="http://schemas.microsoft.com/office/spreadsheetml/2010/11/main" uri="{B97F6D7D-B522-45F9-BDA1-12C45D357490}">
          <x15:cacheHierarchy aggregatedColumn="6"/>
        </ext>
      </extLst>
    </cacheHierarchy>
    <cacheHierarchy uniqueName="[Measures].[Sum of Saturated Fat (% Daily Value)]" caption="Sum of Saturated Fat (% Daily Value)" measure="1" displayFolder="" measureGroup="Range" count="0" hidden="1">
      <extLst>
        <ext xmlns:x15="http://schemas.microsoft.com/office/spreadsheetml/2010/11/main" uri="{B97F6D7D-B522-45F9-BDA1-12C45D357490}">
          <x15:cacheHierarchy aggregatedColumn="8"/>
        </ext>
      </extLst>
    </cacheHierarchy>
    <cacheHierarchy uniqueName="[Measures].[Sum of Sodium (% Daily Value)]" caption="Sum of Sodium (% Daily Value)" measure="1" displayFolder="" measureGroup="Range" count="0" hidden="1">
      <extLst>
        <ext xmlns:x15="http://schemas.microsoft.com/office/spreadsheetml/2010/11/main" uri="{B97F6D7D-B522-45F9-BDA1-12C45D357490}">
          <x15:cacheHierarchy aggregatedColumn="13"/>
        </ext>
      </extLst>
    </cacheHierarchy>
    <cacheHierarchy uniqueName="[Measures].[Sum of Carbohydrates (% Daily Value)]" caption="Sum of Carbohydrates (% Daily Value)" measure="1" displayFolder="" measureGroup="Range" count="0" hidden="1">
      <extLst>
        <ext xmlns:x15="http://schemas.microsoft.com/office/spreadsheetml/2010/11/main" uri="{B97F6D7D-B522-45F9-BDA1-12C45D357490}">
          <x15:cacheHierarchy aggregatedColumn="15"/>
        </ext>
      </extLst>
    </cacheHierarchy>
    <cacheHierarchy uniqueName="[Measures].[Sum of Dietary Fiber (% Daily Value)]" caption="Sum of Dietary Fiber (% Daily Value)" measure="1" displayFolder="" measureGroup="Range" count="0" hidden="1">
      <extLst>
        <ext xmlns:x15="http://schemas.microsoft.com/office/spreadsheetml/2010/11/main" uri="{B97F6D7D-B522-45F9-BDA1-12C45D357490}">
          <x15:cacheHierarchy aggregatedColumn="17"/>
        </ext>
      </extLst>
    </cacheHierarchy>
    <cacheHierarchy uniqueName="[Measures].[Sum of Vitamin A (% Daily Value)]" caption="Sum of Vitamin A (% Daily Value)" measure="1" displayFolder="" measureGroup="Range" count="0" hidden="1">
      <extLst>
        <ext xmlns:x15="http://schemas.microsoft.com/office/spreadsheetml/2010/11/main" uri="{B97F6D7D-B522-45F9-BDA1-12C45D357490}">
          <x15:cacheHierarchy aggregatedColumn="20"/>
        </ext>
      </extLst>
    </cacheHierarchy>
    <cacheHierarchy uniqueName="[Measures].[Sum of Vitamin C (% Daily Value)]" caption="Sum of Vitamin C (% Daily Value)" measure="1" displayFolder="" measureGroup="Range" count="0" hidden="1">
      <extLst>
        <ext xmlns:x15="http://schemas.microsoft.com/office/spreadsheetml/2010/11/main" uri="{B97F6D7D-B522-45F9-BDA1-12C45D357490}">
          <x15:cacheHierarchy aggregatedColumn="21"/>
        </ext>
      </extLst>
    </cacheHierarchy>
    <cacheHierarchy uniqueName="[Measures].[Sum of Calcium (% Daily Value)]" caption="Sum of Calcium (% Daily Value)" measure="1" displayFolder="" measureGroup="Range" count="0" hidden="1">
      <extLst>
        <ext xmlns:x15="http://schemas.microsoft.com/office/spreadsheetml/2010/11/main" uri="{B97F6D7D-B522-45F9-BDA1-12C45D357490}">
          <x15:cacheHierarchy aggregatedColumn="22"/>
        </ext>
      </extLst>
    </cacheHierarchy>
    <cacheHierarchy uniqueName="[Measures].[Sum of Iron (% Daily Value)]" caption="Sum of Iron (% Daily Value)" measure="1" displayFolder="" measureGroup="Range" count="0" hidden="1">
      <extLst>
        <ext xmlns:x15="http://schemas.microsoft.com/office/spreadsheetml/2010/11/main" uri="{B97F6D7D-B522-45F9-BDA1-12C45D357490}">
          <x15:cacheHierarchy aggregatedColumn="23"/>
        </ext>
      </extLst>
    </cacheHierarchy>
    <cacheHierarchy uniqueName="[Measures].[Sum of Sugars]" caption="Sum of Sugars" measure="1" displayFolder="" measureGroup="Range" count="0" hidden="1">
      <extLst>
        <ext xmlns:x15="http://schemas.microsoft.com/office/spreadsheetml/2010/11/main" uri="{B97F6D7D-B522-45F9-BDA1-12C45D357490}">
          <x15:cacheHierarchy aggregatedColumn="18"/>
        </ext>
      </extLst>
    </cacheHierarchy>
    <cacheHierarchy uniqueName="[Measures].[Sum of Protein]" caption="Sum of Protein" measure="1" displayFolder="" measureGroup="Range" count="0" hidden="1">
      <extLst>
        <ext xmlns:x15="http://schemas.microsoft.com/office/spreadsheetml/2010/11/main" uri="{B97F6D7D-B522-45F9-BDA1-12C45D357490}">
          <x15:cacheHierarchy aggregatedColumn="19"/>
        </ext>
      </extLst>
    </cacheHierarchy>
    <cacheHierarchy uniqueName="[Measures].[Sum of Calories from Fat]" caption="Sum of Calories from Fat" measure="1" displayFolder="" measureGroup="Range" count="0" hidden="1">
      <extLst>
        <ext xmlns:x15="http://schemas.microsoft.com/office/spreadsheetml/2010/11/main" uri="{B97F6D7D-B522-45F9-BDA1-12C45D357490}">
          <x15:cacheHierarchy aggregatedColumn="4"/>
        </ext>
      </extLst>
    </cacheHierarchy>
    <cacheHierarchy uniqueName="[Measures].[Sum of Vitamin A (% Daily Value) 2]" caption="Sum of Vitamin A (% Daily Value) 2" measure="1" displayFolder="" measureGroup="Range 1" count="0" hidden="1">
      <extLst>
        <ext xmlns:x15="http://schemas.microsoft.com/office/spreadsheetml/2010/11/main" uri="{B97F6D7D-B522-45F9-BDA1-12C45D357490}">
          <x15:cacheHierarchy aggregatedColumn="45"/>
        </ext>
      </extLst>
    </cacheHierarchy>
    <cacheHierarchy uniqueName="[Measures].[Sum of Calories 2]" caption="Sum of Calories 2" measure="1" displayFolder="" measureGroup="Range 1" count="0" hidden="1">
      <extLst>
        <ext xmlns:x15="http://schemas.microsoft.com/office/spreadsheetml/2010/11/main" uri="{B97F6D7D-B522-45F9-BDA1-12C45D357490}">
          <x15:cacheHierarchy aggregatedColumn="27"/>
        </ext>
      </extLst>
    </cacheHierarchy>
    <cacheHierarchy uniqueName="[Measures].[Sum of Sugars 2]" caption="Sum of Sugars 2" measure="1" displayFolder="" measureGroup="Range 1" count="0" hidden="1">
      <extLst>
        <ext xmlns:x15="http://schemas.microsoft.com/office/spreadsheetml/2010/11/main" uri="{B97F6D7D-B522-45F9-BDA1-12C45D357490}">
          <x15:cacheHierarchy aggregatedColumn="43"/>
        </ext>
      </extLst>
    </cacheHierarchy>
    <cacheHierarchy uniqueName="[Measures].[Sum of Sodium]" caption="Sum of Sodium" measure="1" displayFolder="" measureGroup="Range 1" count="0" hidden="1">
      <extLst>
        <ext xmlns:x15="http://schemas.microsoft.com/office/spreadsheetml/2010/11/main" uri="{B97F6D7D-B522-45F9-BDA1-12C45D357490}">
          <x15:cacheHierarchy aggregatedColumn="37"/>
        </ext>
      </extLst>
    </cacheHierarchy>
    <cacheHierarchy uniqueName="[Measures].[Sum of Saturated Fat (% Daily Value) 2]" caption="Sum of Saturated Fat (% Daily Value) 2" measure="1" displayFolder="" measureGroup="Range 1" count="0" hidden="1">
      <extLst>
        <ext xmlns:x15="http://schemas.microsoft.com/office/spreadsheetml/2010/11/main" uri="{B97F6D7D-B522-45F9-BDA1-12C45D357490}">
          <x15:cacheHierarchy aggregatedColumn="33"/>
        </ext>
      </extLst>
    </cacheHierarchy>
    <cacheHierarchy uniqueName="[Measures].[Sum of FatCaloriesPercent]" caption="Sum of FatCaloriesPercent" measure="1" displayFolder="" measureGroup="Range 1" count="0" hidden="1">
      <extLst>
        <ext xmlns:x15="http://schemas.microsoft.com/office/spreadsheetml/2010/11/main" uri="{B97F6D7D-B522-45F9-BDA1-12C45D357490}">
          <x15:cacheHierarchy aggregatedColumn="29"/>
        </ext>
      </extLst>
    </cacheHierarchy>
    <cacheHierarchy uniqueName="[Measures].[Sum of Calories from Fat 2]" caption="Sum of Calories from Fat 2" measure="1" displayFolder="" measureGroup="Range 1" count="0" hidden="1">
      <extLst>
        <ext xmlns:x15="http://schemas.microsoft.com/office/spreadsheetml/2010/11/main" uri="{B97F6D7D-B522-45F9-BDA1-12C45D357490}">
          <x15:cacheHierarchy aggregatedColumn="28"/>
        </ext>
      </extLst>
    </cacheHierarchy>
    <cacheHierarchy uniqueName="[Measures].[Sum of Total Fat (% Daily Value) 2]" caption="Sum of Total Fat (% Daily Value) 2" measure="1" displayFolder="" measureGroup="Range 1" count="0" hidden="1">
      <extLst>
        <ext xmlns:x15="http://schemas.microsoft.com/office/spreadsheetml/2010/11/main" uri="{B97F6D7D-B522-45F9-BDA1-12C45D357490}">
          <x15:cacheHierarchy aggregatedColumn="31"/>
        </ext>
      </extLst>
    </cacheHierarchy>
    <cacheHierarchy uniqueName="[Measures].[Sum of Total Fat]" caption="Sum of Total Fat" measure="1" displayFolder="" measureGroup="Range 1" count="0" hidden="1">
      <extLst>
        <ext xmlns:x15="http://schemas.microsoft.com/office/spreadsheetml/2010/11/main" uri="{B97F6D7D-B522-45F9-BDA1-12C45D357490}">
          <x15:cacheHierarchy aggregatedColumn="30"/>
        </ext>
      </extLst>
    </cacheHierarchy>
    <cacheHierarchy uniqueName="[Measures].[Sum of Saturated Fat]" caption="Sum of Saturated Fat" measure="1" displayFolder="" measureGroup="Range 1" count="0" hidden="1">
      <extLst>
        <ext xmlns:x15="http://schemas.microsoft.com/office/spreadsheetml/2010/11/main" uri="{B97F6D7D-B522-45F9-BDA1-12C45D357490}">
          <x15:cacheHierarchy aggregatedColumn="32"/>
        </ext>
      </extLst>
    </cacheHierarchy>
    <cacheHierarchy uniqueName="[Measures].[Sum of Protein 2]" caption="Sum of Protein 2" measure="1" displayFolder="" measureGroup="Range 1" count="0" hidden="1">
      <extLst>
        <ext xmlns:x15="http://schemas.microsoft.com/office/spreadsheetml/2010/11/main" uri="{B97F6D7D-B522-45F9-BDA1-12C45D357490}">
          <x15:cacheHierarchy aggregatedColumn="44"/>
        </ext>
      </extLst>
    </cacheHierarchy>
    <cacheHierarchy uniqueName="[Measures].[Sum of Cholesterol]" caption="Sum of Cholesterol" measure="1" displayFolder="" measureGroup="Range 1" count="0" hidden="1">
      <extLst>
        <ext xmlns:x15="http://schemas.microsoft.com/office/spreadsheetml/2010/11/main" uri="{B97F6D7D-B522-45F9-BDA1-12C45D357490}">
          <x15:cacheHierarchy aggregatedColumn="35"/>
        </ext>
      </extLst>
    </cacheHierarchy>
    <cacheHierarchy uniqueName="[Measures].[Count of HighNutrients]" caption="Count of HighNutrients" measure="1" displayFolder="" measureGroup="Range 1" count="0" hidden="1">
      <extLst>
        <ext xmlns:x15="http://schemas.microsoft.com/office/spreadsheetml/2010/11/main" uri="{B97F6D7D-B522-45F9-BDA1-12C45D357490}">
          <x15:cacheHierarchy aggregatedColumn="49"/>
        </ext>
      </extLst>
    </cacheHierarchy>
    <cacheHierarchy uniqueName="[Measures].[Sum of Carbohydrates]" caption="Sum of Carbohydrates" measure="1" displayFolder="" measureGroup="Range 1" count="0" hidden="1">
      <extLst>
        <ext xmlns:x15="http://schemas.microsoft.com/office/spreadsheetml/2010/11/main" uri="{B97F6D7D-B522-45F9-BDA1-12C45D357490}">
          <x15:cacheHierarchy aggregatedColumn="39"/>
        </ext>
      </extLst>
    </cacheHierarchy>
    <cacheHierarchy uniqueName="[Measures].[Sum of Carbohydrates (% Daily Value) 2]" caption="Sum of Carbohydrates (% Daily Value) 2" measure="1" displayFolder="" measureGroup="Range 1" count="0" hidden="1">
      <extLst>
        <ext xmlns:x15="http://schemas.microsoft.com/office/spreadsheetml/2010/11/main" uri="{B97F6D7D-B522-45F9-BDA1-12C45D357490}">
          <x15:cacheHierarchy aggregatedColumn="40"/>
        </ext>
      </extLst>
    </cacheHierarchy>
    <cacheHierarchy uniqueName="[Measures].[Count of Category]" caption="Count of Category" measure="1" displayFolder="" measureGroup="Range"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204184758"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yabini Venkatesan" refreshedDate="45106.540695601849" backgroundQuery="1" createdVersion="3" refreshedVersion="8" minRefreshableVersion="3" recordCount="0" supportSubquery="1" supportAdvancedDrill="1" xr:uid="{328811F7-0BB4-494B-BFA4-699BF56A61DA}">
  <cacheSource type="external" connectionId="1">
    <extLst>
      <ext xmlns:x14="http://schemas.microsoft.com/office/spreadsheetml/2009/9/main" uri="{F057638F-6D5F-4e77-A914-E7F072B9BCA8}">
        <x14:sourceConnection name="ThisWorkbookDataModel"/>
      </ext>
    </extLst>
  </cacheSource>
  <cacheFields count="0"/>
  <cacheHierarchies count="85">
    <cacheHierarchy uniqueName="[Range].[Category]" caption="Category" attribute="1" defaultMemberUniqueName="[Range].[Category].[All]" allUniqueName="[Range].[Category].[All]" dimensionUniqueName="[Range]" displayFolder="" count="0" memberValueDatatype="130" unbalanced="0"/>
    <cacheHierarchy uniqueName="[Range].[Item]" caption="Item" attribute="1" defaultMemberUniqueName="[Range].[Item].[All]" allUniqueName="[Range].[Item].[All]" dimensionUniqueName="[Range]" displayFolder="" count="0" memberValueDatatype="130" unbalanced="0"/>
    <cacheHierarchy uniqueName="[Range].[Serving Size]" caption="Serving Size" attribute="1" defaultMemberUniqueName="[Range].[Serving Size].[All]" allUniqueName="[Range].[Serving Size].[All]" dimensionUniqueName="[Range]" displayFolder="" count="0" memberValueDatatype="130" unbalanced="0"/>
    <cacheHierarchy uniqueName="[Range].[Calories]" caption="Calories" attribute="1" defaultMemberUniqueName="[Range].[Calories].[All]" allUniqueName="[Range].[Calories].[All]" dimensionUniqueName="[Range]" displayFolder="" count="0" memberValueDatatype="20" unbalanced="0"/>
    <cacheHierarchy uniqueName="[Range].[Calories from Fat]" caption="Calories from Fat" attribute="1" defaultMemberUniqueName="[Range].[Calories from Fat].[All]" allUniqueName="[Range].[Calories from Fat].[All]" dimensionUniqueName="[Range]" displayFolder="" count="0" memberValueDatatype="20" unbalanced="0"/>
    <cacheHierarchy uniqueName="[Range].[Total Fat]" caption="Total Fat" attribute="1" defaultMemberUniqueName="[Range].[Total Fat].[All]" allUniqueName="[Range].[Total Fat].[All]" dimensionUniqueName="[Range]" displayFolder="" count="0" memberValueDatatype="5" unbalanced="0"/>
    <cacheHierarchy uniqueName="[Range].[Total Fat (% Daily Value)]" caption="Total Fat (% Daily Value)" attribute="1" defaultMemberUniqueName="[Range].[Total Fat (% Daily Value)].[All]" allUniqueName="[Range].[Total Fat (% Daily Value)].[All]" dimensionUniqueName="[Range]" displayFolder="" count="0" memberValueDatatype="20" unbalanced="0"/>
    <cacheHierarchy uniqueName="[Range].[Saturated Fat]" caption="Saturated Fat" attribute="1" defaultMemberUniqueName="[Range].[Saturated Fat].[All]" allUniqueName="[Range].[Saturated Fat].[All]" dimensionUniqueName="[Range]" displayFolder="" count="0" memberValueDatatype="5" unbalanced="0"/>
    <cacheHierarchy uniqueName="[Range].[Saturated Fat (% Daily Value)]" caption="Saturated Fat (% Daily Value)" attribute="1" defaultMemberUniqueName="[Range].[Saturated Fat (% Daily Value)].[All]" allUniqueName="[Range].[Saturated Fat (% Daily Value)].[All]" dimensionUniqueName="[Range]" displayFolder="" count="0" memberValueDatatype="20" unbalanced="0"/>
    <cacheHierarchy uniqueName="[Range].[Trans Fat]" caption="Trans Fat" attribute="1" defaultMemberUniqueName="[Range].[Trans Fat].[All]" allUniqueName="[Range].[Trans Fat].[All]" dimensionUniqueName="[Range]" displayFolder="" count="0" memberValueDatatype="5" unbalanced="0"/>
    <cacheHierarchy uniqueName="[Range].[Cholesterol]" caption="Cholesterol" attribute="1" defaultMemberUniqueName="[Range].[Cholesterol].[All]" allUniqueName="[Range].[Cholesterol].[All]" dimensionUniqueName="[Range]" displayFolder="" count="0" memberValueDatatype="20" unbalanced="0"/>
    <cacheHierarchy uniqueName="[Range].[Cholesterol (% Daily Value)]" caption="Cholesterol (% Daily Value)" attribute="1" defaultMemberUniqueName="[Range].[Cholesterol (% Daily Value)].[All]" allUniqueName="[Range].[Cholesterol (% Daily Value)].[All]" dimensionUniqueName="[Range]" displayFolder="" count="0" memberValueDatatype="20" unbalanced="0"/>
    <cacheHierarchy uniqueName="[Range].[Sodium]" caption="Sodium" attribute="1" defaultMemberUniqueName="[Range].[Sodium].[All]" allUniqueName="[Range].[Sodium].[All]" dimensionUniqueName="[Range]" displayFolder="" count="0" memberValueDatatype="20" unbalanced="0"/>
    <cacheHierarchy uniqueName="[Range].[Sodium (% Daily Value)]" caption="Sodium (% Daily Value)" attribute="1" defaultMemberUniqueName="[Range].[Sodium (% Daily Value)].[All]" allUniqueName="[Range].[Sodium (% Daily Value)].[All]" dimensionUniqueName="[Range]" displayFolder="" count="0" memberValueDatatype="20" unbalanced="0"/>
    <cacheHierarchy uniqueName="[Range].[Carbohydrates]" caption="Carbohydrates" attribute="1" defaultMemberUniqueName="[Range].[Carbohydrates].[All]" allUniqueName="[Range].[Carbohydrates].[All]" dimensionUniqueName="[Range]" displayFolder="" count="0" memberValueDatatype="20" unbalanced="0"/>
    <cacheHierarchy uniqueName="[Range].[Carbohydrates (% Daily Value)]" caption="Carbohydrates (% Daily Value)" attribute="1" defaultMemberUniqueName="[Range].[Carbohydrates (% Daily Value)].[All]" allUniqueName="[Range].[Carbohydrates (% Daily Value)].[All]" dimensionUniqueName="[Range]" displayFolder="" count="0" memberValueDatatype="20" unbalanced="0"/>
    <cacheHierarchy uniqueName="[Range].[Dietary Fiber]" caption="Dietary Fiber" attribute="1" defaultMemberUniqueName="[Range].[Dietary Fiber].[All]" allUniqueName="[Range].[Dietary Fiber].[All]" dimensionUniqueName="[Range]" displayFolder="" count="0" memberValueDatatype="20" unbalanced="0"/>
    <cacheHierarchy uniqueName="[Range].[Dietary Fiber (% Daily Value)]" caption="Dietary Fiber (% Daily Value)" attribute="1" defaultMemberUniqueName="[Range].[Dietary Fiber (% Daily Value)].[All]" allUniqueName="[Range].[Dietary Fiber (% Daily Value)].[All]" dimensionUniqueName="[Range]" displayFolder="" count="0" memberValueDatatype="20" unbalanced="0"/>
    <cacheHierarchy uniqueName="[Range].[Sugars]" caption="Sugars" attribute="1" defaultMemberUniqueName="[Range].[Sugars].[All]" allUniqueName="[Range].[Sugars].[All]" dimensionUniqueName="[Range]" displayFolder="" count="0" memberValueDatatype="20" unbalanced="0"/>
    <cacheHierarchy uniqueName="[Range].[Protein]" caption="Protein" attribute="1" defaultMemberUniqueName="[Range].[Protein].[All]" allUniqueName="[Range].[Protein].[All]" dimensionUniqueName="[Range]" displayFolder="" count="0" memberValueDatatype="20" unbalanced="0"/>
    <cacheHierarchy uniqueName="[Range].[Vitamin A (% Daily Value)]" caption="Vitamin A (% Daily Value)" attribute="1" defaultMemberUniqueName="[Range].[Vitamin A (% Daily Value)].[All]" allUniqueName="[Range].[Vitamin A (% Daily Value)].[All]" dimensionUniqueName="[Range]" displayFolder="" count="0" memberValueDatatype="20" unbalanced="0"/>
    <cacheHierarchy uniqueName="[Range].[Vitamin C (% Daily Value)]" caption="Vitamin C (% Daily Value)" attribute="1" defaultMemberUniqueName="[Range].[Vitamin C (% Daily Value)].[All]" allUniqueName="[Range].[Vitamin C (% Daily Value)].[All]" dimensionUniqueName="[Range]" displayFolder="" count="0" memberValueDatatype="20" unbalanced="0"/>
    <cacheHierarchy uniqueName="[Range].[Calcium (% Daily Value)]" caption="Calcium (% Daily Value)" attribute="1" defaultMemberUniqueName="[Range].[Calcium (% Daily Value)].[All]" allUniqueName="[Range].[Calcium (% Daily Value)].[All]" dimensionUniqueName="[Range]" displayFolder="" count="0" memberValueDatatype="20" unbalanced="0"/>
    <cacheHierarchy uniqueName="[Range].[Iron (% Daily Value)]" caption="Iron (% Daily Value)" attribute="1" defaultMemberUniqueName="[Range].[Iron (% Daily Value)].[All]" allUniqueName="[Range].[Iron (% Daily Value)].[All]" dimensionUniqueName="[Range]" displayFolder="" count="0" memberValueDatatype="20" unbalanced="0"/>
    <cacheHierarchy uniqueName="[Range 1].[Category]" caption="Category" attribute="1" defaultMemberUniqueName="[Range 1].[Category].[All]" allUniqueName="[Range 1].[Category].[All]" dimensionUniqueName="[Range 1]" displayFolder="" count="2" memberValueDatatype="130" unbalanced="0"/>
    <cacheHierarchy uniqueName="[Range 1].[Item]" caption="Item" attribute="1" defaultMemberUniqueName="[Range 1].[Item].[All]" allUniqueName="[Range 1].[Item].[All]" dimensionUniqueName="[Range 1]" displayFolder="" count="0" memberValueDatatype="130" unbalanced="0"/>
    <cacheHierarchy uniqueName="[Range 1].[Serving Size]" caption="Serving Size" attribute="1" defaultMemberUniqueName="[Range 1].[Serving Size].[All]" allUniqueName="[Range 1].[Serving Size].[All]" dimensionUniqueName="[Range 1]" displayFolder="" count="0" memberValueDatatype="130" unbalanced="0"/>
    <cacheHierarchy uniqueName="[Range 1].[Calories]" caption="Calories" attribute="1" defaultMemberUniqueName="[Range 1].[Calories].[All]" allUniqueName="[Range 1].[Calories].[All]" dimensionUniqueName="[Range 1]" displayFolder="" count="0" memberValueDatatype="20" unbalanced="0"/>
    <cacheHierarchy uniqueName="[Range 1].[Calories from Fat]" caption="Calories from Fat" attribute="1" defaultMemberUniqueName="[Range 1].[Calories from Fat].[All]" allUniqueName="[Range 1].[Calories from Fat].[All]" dimensionUniqueName="[Range 1]" displayFolder="" count="0" memberValueDatatype="20" unbalanced="0"/>
    <cacheHierarchy uniqueName="[Range 1].[FatCaloriesPercent]" caption="FatCaloriesPercent" attribute="1" defaultMemberUniqueName="[Range 1].[FatCaloriesPercent].[All]" allUniqueName="[Range 1].[FatCaloriesPercent].[All]" dimensionUniqueName="[Range 1]" displayFolder="" count="0" memberValueDatatype="5" unbalanced="0"/>
    <cacheHierarchy uniqueName="[Range 1].[Total Fat]" caption="Total Fat" attribute="1" defaultMemberUniqueName="[Range 1].[Total Fat].[All]" allUniqueName="[Range 1].[Total Fat].[All]" dimensionUniqueName="[Range 1]" displayFolder="" count="0" memberValueDatatype="5" unbalanced="0"/>
    <cacheHierarchy uniqueName="[Range 1].[Total Fat (% Daily Value)]" caption="Total Fat (% Daily Value)" attribute="1" defaultMemberUniqueName="[Range 1].[Total Fat (% Daily Value)].[All]" allUniqueName="[Range 1].[Total Fat (% Daily Value)].[All]" dimensionUniqueName="[Range 1]" displayFolder="" count="0" memberValueDatatype="20" unbalanced="0"/>
    <cacheHierarchy uniqueName="[Range 1].[Saturated Fat]" caption="Saturated Fat" attribute="1" defaultMemberUniqueName="[Range 1].[Saturated Fat].[All]" allUniqueName="[Range 1].[Saturated Fat].[All]" dimensionUniqueName="[Range 1]" displayFolder="" count="0" memberValueDatatype="5" unbalanced="0"/>
    <cacheHierarchy uniqueName="[Range 1].[Saturated Fat (% Daily Value)]" caption="Saturated Fat (% Daily Value)" attribute="1" defaultMemberUniqueName="[Range 1].[Saturated Fat (% Daily Value)].[All]" allUniqueName="[Range 1].[Saturated Fat (% Daily Value)].[All]" dimensionUniqueName="[Range 1]" displayFolder="" count="0" memberValueDatatype="20" unbalanced="0"/>
    <cacheHierarchy uniqueName="[Range 1].[Trans Fat]" caption="Trans Fat" attribute="1" defaultMemberUniqueName="[Range 1].[Trans Fat].[All]" allUniqueName="[Range 1].[Trans Fat].[All]" dimensionUniqueName="[Range 1]" displayFolder="" count="0" memberValueDatatype="5" unbalanced="0"/>
    <cacheHierarchy uniqueName="[Range 1].[Cholesterol]" caption="Cholesterol" attribute="1" defaultMemberUniqueName="[Range 1].[Cholesterol].[All]" allUniqueName="[Range 1].[Cholesterol].[All]" dimensionUniqueName="[Range 1]" displayFolder="" count="0" memberValueDatatype="20" unbalanced="0"/>
    <cacheHierarchy uniqueName="[Range 1].[Cholesterol (% Daily Value)]" caption="Cholesterol (% Daily Value)" attribute="1" defaultMemberUniqueName="[Range 1].[Cholesterol (% Daily Value)].[All]" allUniqueName="[Range 1].[Cholesterol (% Daily Value)].[All]" dimensionUniqueName="[Range 1]" displayFolder="" count="0" memberValueDatatype="20" unbalanced="0"/>
    <cacheHierarchy uniqueName="[Range 1].[Sodium]" caption="Sodium" attribute="1" defaultMemberUniqueName="[Range 1].[Sodium].[All]" allUniqueName="[Range 1].[Sodium].[All]" dimensionUniqueName="[Range 1]" displayFolder="" count="0" memberValueDatatype="20" unbalanced="0"/>
    <cacheHierarchy uniqueName="[Range 1].[Sodium (% Daily Value)]" caption="Sodium (% Daily Value)" attribute="1" defaultMemberUniqueName="[Range 1].[Sodium (% Daily Value)].[All]" allUniqueName="[Range 1].[Sodium (% Daily Value)].[All]" dimensionUniqueName="[Range 1]" displayFolder="" count="0" memberValueDatatype="20" unbalanced="0"/>
    <cacheHierarchy uniqueName="[Range 1].[Carbohydrates]" caption="Carbohydrates" attribute="1" defaultMemberUniqueName="[Range 1].[Carbohydrates].[All]" allUniqueName="[Range 1].[Carbohydrates].[All]" dimensionUniqueName="[Range 1]" displayFolder="" count="0" memberValueDatatype="20" unbalanced="0"/>
    <cacheHierarchy uniqueName="[Range 1].[Carbohydrates (% Daily Value)]" caption="Carbohydrates (% Daily Value)" attribute="1" defaultMemberUniqueName="[Range 1].[Carbohydrates (% Daily Value)].[All]" allUniqueName="[Range 1].[Carbohydrates (% Daily Value)].[All]" dimensionUniqueName="[Range 1]" displayFolder="" count="0" memberValueDatatype="20" unbalanced="0"/>
    <cacheHierarchy uniqueName="[Range 1].[Dietary Fiber]" caption="Dietary Fiber" attribute="1" defaultMemberUniqueName="[Range 1].[Dietary Fiber].[All]" allUniqueName="[Range 1].[Dietary Fiber].[All]" dimensionUniqueName="[Range 1]" displayFolder="" count="0" memberValueDatatype="20" unbalanced="0"/>
    <cacheHierarchy uniqueName="[Range 1].[Dietary Fiber (% Daily Value)]" caption="Dietary Fiber (% Daily Value)" attribute="1" defaultMemberUniqueName="[Range 1].[Dietary Fiber (% Daily Value)].[All]" allUniqueName="[Range 1].[Dietary Fiber (% Daily Value)].[All]" dimensionUniqueName="[Range 1]" displayFolder="" count="0" memberValueDatatype="20" unbalanced="0"/>
    <cacheHierarchy uniqueName="[Range 1].[Sugars]" caption="Sugars" attribute="1" defaultMemberUniqueName="[Range 1].[Sugars].[All]" allUniqueName="[Range 1].[Sugars].[All]" dimensionUniqueName="[Range 1]" displayFolder="" count="0" memberValueDatatype="20" unbalanced="0"/>
    <cacheHierarchy uniqueName="[Range 1].[Protein]" caption="Protein" attribute="1" defaultMemberUniqueName="[Range 1].[Protein].[All]" allUniqueName="[Range 1].[Protein].[All]" dimensionUniqueName="[Range 1]" displayFolder="" count="0" memberValueDatatype="20" unbalanced="0"/>
    <cacheHierarchy uniqueName="[Range 1].[Vitamin A (% Daily Value)]" caption="Vitamin A (% Daily Value)" attribute="1" defaultMemberUniqueName="[Range 1].[Vitamin A (% Daily Value)].[All]" allUniqueName="[Range 1].[Vitamin A (% Daily Value)].[All]" dimensionUniqueName="[Range 1]" displayFolder="" count="0" memberValueDatatype="20" unbalanced="0"/>
    <cacheHierarchy uniqueName="[Range 1].[Vitamin C (% Daily Value)]" caption="Vitamin C (% Daily Value)" attribute="1" defaultMemberUniqueName="[Range 1].[Vitamin C (% Daily Value)].[All]" allUniqueName="[Range 1].[Vitamin C (% Daily Value)].[All]" dimensionUniqueName="[Range 1]" displayFolder="" count="0" memberValueDatatype="20" unbalanced="0"/>
    <cacheHierarchy uniqueName="[Range 1].[Calcium (% Daily Value)]" caption="Calcium (% Daily Value)" attribute="1" defaultMemberUniqueName="[Range 1].[Calcium (% Daily Value)].[All]" allUniqueName="[Range 1].[Calcium (% Daily Value)].[All]" dimensionUniqueName="[Range 1]" displayFolder="" count="0" memberValueDatatype="20" unbalanced="0"/>
    <cacheHierarchy uniqueName="[Range 1].[Iron (% Daily Value)]" caption="Iron (% Daily Value)" attribute="1" defaultMemberUniqueName="[Range 1].[Iron (% Daily Value)].[All]" allUniqueName="[Range 1].[Iron (% Daily Value)].[All]" dimensionUniqueName="[Range 1]" displayFolder="" count="0" memberValueDatatype="20" unbalanced="0"/>
    <cacheHierarchy uniqueName="[Range 1].[HighNutrients]" caption="HighNutrients" attribute="1" defaultMemberUniqueName="[Range 1].[HighNutrients].[All]" allUniqueName="[Range 1].[HighNutrients].[All]" dimensionUniqueName="[Range 1]" displayFolder="" count="0" memberValueDatatype="13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alories]" caption="Sum of Calories" measure="1" displayFolder="" measureGroup="Range" count="0" hidden="1">
      <extLst>
        <ext xmlns:x15="http://schemas.microsoft.com/office/spreadsheetml/2010/11/main" uri="{B97F6D7D-B522-45F9-BDA1-12C45D357490}">
          <x15:cacheHierarchy aggregatedColumn="3"/>
        </ext>
      </extLst>
    </cacheHierarchy>
    <cacheHierarchy uniqueName="[Measures].[Sum of Cholesterol (% Daily Value)]" caption="Sum of Cholesterol (% Daily Value)" measure="1" displayFolder="" measureGroup="Range" count="0" hidden="1">
      <extLst>
        <ext xmlns:x15="http://schemas.microsoft.com/office/spreadsheetml/2010/11/main" uri="{B97F6D7D-B522-45F9-BDA1-12C45D357490}">
          <x15:cacheHierarchy aggregatedColumn="11"/>
        </ext>
      </extLst>
    </cacheHierarchy>
    <cacheHierarchy uniqueName="[Measures].[Average of Cholesterol (% Daily Value)]" caption="Average of Cholesterol (% Daily Value)" measure="1" displayFolder="" measureGroup="Range" count="0" hidden="1">
      <extLst>
        <ext xmlns:x15="http://schemas.microsoft.com/office/spreadsheetml/2010/11/main" uri="{B97F6D7D-B522-45F9-BDA1-12C45D357490}">
          <x15:cacheHierarchy aggregatedColumn="11"/>
        </ext>
      </extLst>
    </cacheHierarchy>
    <cacheHierarchy uniqueName="[Measures].[Sum of Total Fat (% Daily Value)]" caption="Sum of Total Fat (% Daily Value)" measure="1" displayFolder="" measureGroup="Range" count="0" hidden="1">
      <extLst>
        <ext xmlns:x15="http://schemas.microsoft.com/office/spreadsheetml/2010/11/main" uri="{B97F6D7D-B522-45F9-BDA1-12C45D357490}">
          <x15:cacheHierarchy aggregatedColumn="6"/>
        </ext>
      </extLst>
    </cacheHierarchy>
    <cacheHierarchy uniqueName="[Measures].[Average of Total Fat (% Daily Value)]" caption="Average of Total Fat (% Daily Value)" measure="1" displayFolder="" measureGroup="Range" count="0" hidden="1">
      <extLst>
        <ext xmlns:x15="http://schemas.microsoft.com/office/spreadsheetml/2010/11/main" uri="{B97F6D7D-B522-45F9-BDA1-12C45D357490}">
          <x15:cacheHierarchy aggregatedColumn="6"/>
        </ext>
      </extLst>
    </cacheHierarchy>
    <cacheHierarchy uniqueName="[Measures].[Sum of Saturated Fat (% Daily Value)]" caption="Sum of Saturated Fat (% Daily Value)" measure="1" displayFolder="" measureGroup="Range" count="0" hidden="1">
      <extLst>
        <ext xmlns:x15="http://schemas.microsoft.com/office/spreadsheetml/2010/11/main" uri="{B97F6D7D-B522-45F9-BDA1-12C45D357490}">
          <x15:cacheHierarchy aggregatedColumn="8"/>
        </ext>
      </extLst>
    </cacheHierarchy>
    <cacheHierarchy uniqueName="[Measures].[Sum of Sodium (% Daily Value)]" caption="Sum of Sodium (% Daily Value)" measure="1" displayFolder="" measureGroup="Range" count="0" hidden="1">
      <extLst>
        <ext xmlns:x15="http://schemas.microsoft.com/office/spreadsheetml/2010/11/main" uri="{B97F6D7D-B522-45F9-BDA1-12C45D357490}">
          <x15:cacheHierarchy aggregatedColumn="13"/>
        </ext>
      </extLst>
    </cacheHierarchy>
    <cacheHierarchy uniqueName="[Measures].[Sum of Carbohydrates (% Daily Value)]" caption="Sum of Carbohydrates (% Daily Value)" measure="1" displayFolder="" measureGroup="Range" count="0" hidden="1">
      <extLst>
        <ext xmlns:x15="http://schemas.microsoft.com/office/spreadsheetml/2010/11/main" uri="{B97F6D7D-B522-45F9-BDA1-12C45D357490}">
          <x15:cacheHierarchy aggregatedColumn="15"/>
        </ext>
      </extLst>
    </cacheHierarchy>
    <cacheHierarchy uniqueName="[Measures].[Sum of Dietary Fiber (% Daily Value)]" caption="Sum of Dietary Fiber (% Daily Value)" measure="1" displayFolder="" measureGroup="Range" count="0" hidden="1">
      <extLst>
        <ext xmlns:x15="http://schemas.microsoft.com/office/spreadsheetml/2010/11/main" uri="{B97F6D7D-B522-45F9-BDA1-12C45D357490}">
          <x15:cacheHierarchy aggregatedColumn="17"/>
        </ext>
      </extLst>
    </cacheHierarchy>
    <cacheHierarchy uniqueName="[Measures].[Sum of Vitamin A (% Daily Value)]" caption="Sum of Vitamin A (% Daily Value)" measure="1" displayFolder="" measureGroup="Range" count="0" hidden="1">
      <extLst>
        <ext xmlns:x15="http://schemas.microsoft.com/office/spreadsheetml/2010/11/main" uri="{B97F6D7D-B522-45F9-BDA1-12C45D357490}">
          <x15:cacheHierarchy aggregatedColumn="20"/>
        </ext>
      </extLst>
    </cacheHierarchy>
    <cacheHierarchy uniqueName="[Measures].[Sum of Vitamin C (% Daily Value)]" caption="Sum of Vitamin C (% Daily Value)" measure="1" displayFolder="" measureGroup="Range" count="0" hidden="1">
      <extLst>
        <ext xmlns:x15="http://schemas.microsoft.com/office/spreadsheetml/2010/11/main" uri="{B97F6D7D-B522-45F9-BDA1-12C45D357490}">
          <x15:cacheHierarchy aggregatedColumn="21"/>
        </ext>
      </extLst>
    </cacheHierarchy>
    <cacheHierarchy uniqueName="[Measures].[Sum of Calcium (% Daily Value)]" caption="Sum of Calcium (% Daily Value)" measure="1" displayFolder="" measureGroup="Range" count="0" hidden="1">
      <extLst>
        <ext xmlns:x15="http://schemas.microsoft.com/office/spreadsheetml/2010/11/main" uri="{B97F6D7D-B522-45F9-BDA1-12C45D357490}">
          <x15:cacheHierarchy aggregatedColumn="22"/>
        </ext>
      </extLst>
    </cacheHierarchy>
    <cacheHierarchy uniqueName="[Measures].[Sum of Iron (% Daily Value)]" caption="Sum of Iron (% Daily Value)" measure="1" displayFolder="" measureGroup="Range" count="0" hidden="1">
      <extLst>
        <ext xmlns:x15="http://schemas.microsoft.com/office/spreadsheetml/2010/11/main" uri="{B97F6D7D-B522-45F9-BDA1-12C45D357490}">
          <x15:cacheHierarchy aggregatedColumn="23"/>
        </ext>
      </extLst>
    </cacheHierarchy>
    <cacheHierarchy uniqueName="[Measures].[Sum of Sugars]" caption="Sum of Sugars" measure="1" displayFolder="" measureGroup="Range" count="0" hidden="1">
      <extLst>
        <ext xmlns:x15="http://schemas.microsoft.com/office/spreadsheetml/2010/11/main" uri="{B97F6D7D-B522-45F9-BDA1-12C45D357490}">
          <x15:cacheHierarchy aggregatedColumn="18"/>
        </ext>
      </extLst>
    </cacheHierarchy>
    <cacheHierarchy uniqueName="[Measures].[Sum of Protein]" caption="Sum of Protein" measure="1" displayFolder="" measureGroup="Range" count="0" hidden="1">
      <extLst>
        <ext xmlns:x15="http://schemas.microsoft.com/office/spreadsheetml/2010/11/main" uri="{B97F6D7D-B522-45F9-BDA1-12C45D357490}">
          <x15:cacheHierarchy aggregatedColumn="19"/>
        </ext>
      </extLst>
    </cacheHierarchy>
    <cacheHierarchy uniqueName="[Measures].[Sum of Calories from Fat]" caption="Sum of Calories from Fat" measure="1" displayFolder="" measureGroup="Range" count="0" hidden="1">
      <extLst>
        <ext xmlns:x15="http://schemas.microsoft.com/office/spreadsheetml/2010/11/main" uri="{B97F6D7D-B522-45F9-BDA1-12C45D357490}">
          <x15:cacheHierarchy aggregatedColumn="4"/>
        </ext>
      </extLst>
    </cacheHierarchy>
    <cacheHierarchy uniqueName="[Measures].[Sum of Vitamin A (% Daily Value) 2]" caption="Sum of Vitamin A (% Daily Value) 2" measure="1" displayFolder="" measureGroup="Range 1" count="0" hidden="1">
      <extLst>
        <ext xmlns:x15="http://schemas.microsoft.com/office/spreadsheetml/2010/11/main" uri="{B97F6D7D-B522-45F9-BDA1-12C45D357490}">
          <x15:cacheHierarchy aggregatedColumn="45"/>
        </ext>
      </extLst>
    </cacheHierarchy>
    <cacheHierarchy uniqueName="[Measures].[Sum of Calories 2]" caption="Sum of Calories 2" measure="1" displayFolder="" measureGroup="Range 1" count="0" hidden="1">
      <extLst>
        <ext xmlns:x15="http://schemas.microsoft.com/office/spreadsheetml/2010/11/main" uri="{B97F6D7D-B522-45F9-BDA1-12C45D357490}">
          <x15:cacheHierarchy aggregatedColumn="27"/>
        </ext>
      </extLst>
    </cacheHierarchy>
    <cacheHierarchy uniqueName="[Measures].[Sum of Sugars 2]" caption="Sum of Sugars 2" measure="1" displayFolder="" measureGroup="Range 1" count="0" hidden="1">
      <extLst>
        <ext xmlns:x15="http://schemas.microsoft.com/office/spreadsheetml/2010/11/main" uri="{B97F6D7D-B522-45F9-BDA1-12C45D357490}">
          <x15:cacheHierarchy aggregatedColumn="43"/>
        </ext>
      </extLst>
    </cacheHierarchy>
    <cacheHierarchy uniqueName="[Measures].[Sum of Sodium]" caption="Sum of Sodium" measure="1" displayFolder="" measureGroup="Range 1" count="0" hidden="1">
      <extLst>
        <ext xmlns:x15="http://schemas.microsoft.com/office/spreadsheetml/2010/11/main" uri="{B97F6D7D-B522-45F9-BDA1-12C45D357490}">
          <x15:cacheHierarchy aggregatedColumn="37"/>
        </ext>
      </extLst>
    </cacheHierarchy>
    <cacheHierarchy uniqueName="[Measures].[Sum of Saturated Fat (% Daily Value) 2]" caption="Sum of Saturated Fat (% Daily Value) 2" measure="1" displayFolder="" measureGroup="Range 1" count="0" hidden="1">
      <extLst>
        <ext xmlns:x15="http://schemas.microsoft.com/office/spreadsheetml/2010/11/main" uri="{B97F6D7D-B522-45F9-BDA1-12C45D357490}">
          <x15:cacheHierarchy aggregatedColumn="33"/>
        </ext>
      </extLst>
    </cacheHierarchy>
    <cacheHierarchy uniqueName="[Measures].[Sum of FatCaloriesPercent]" caption="Sum of FatCaloriesPercent" measure="1" displayFolder="" measureGroup="Range 1" count="0" hidden="1">
      <extLst>
        <ext xmlns:x15="http://schemas.microsoft.com/office/spreadsheetml/2010/11/main" uri="{B97F6D7D-B522-45F9-BDA1-12C45D357490}">
          <x15:cacheHierarchy aggregatedColumn="29"/>
        </ext>
      </extLst>
    </cacheHierarchy>
    <cacheHierarchy uniqueName="[Measures].[Sum of Calories from Fat 2]" caption="Sum of Calories from Fat 2" measure="1" displayFolder="" measureGroup="Range 1" count="0" hidden="1">
      <extLst>
        <ext xmlns:x15="http://schemas.microsoft.com/office/spreadsheetml/2010/11/main" uri="{B97F6D7D-B522-45F9-BDA1-12C45D357490}">
          <x15:cacheHierarchy aggregatedColumn="28"/>
        </ext>
      </extLst>
    </cacheHierarchy>
    <cacheHierarchy uniqueName="[Measures].[Sum of Total Fat (% Daily Value) 2]" caption="Sum of Total Fat (% Daily Value) 2" measure="1" displayFolder="" measureGroup="Range 1" count="0" hidden="1">
      <extLst>
        <ext xmlns:x15="http://schemas.microsoft.com/office/spreadsheetml/2010/11/main" uri="{B97F6D7D-B522-45F9-BDA1-12C45D357490}">
          <x15:cacheHierarchy aggregatedColumn="31"/>
        </ext>
      </extLst>
    </cacheHierarchy>
    <cacheHierarchy uniqueName="[Measures].[Sum of Total Fat]" caption="Sum of Total Fat" measure="1" displayFolder="" measureGroup="Range 1" count="0" hidden="1">
      <extLst>
        <ext xmlns:x15="http://schemas.microsoft.com/office/spreadsheetml/2010/11/main" uri="{B97F6D7D-B522-45F9-BDA1-12C45D357490}">
          <x15:cacheHierarchy aggregatedColumn="30"/>
        </ext>
      </extLst>
    </cacheHierarchy>
    <cacheHierarchy uniqueName="[Measures].[Sum of Saturated Fat]" caption="Sum of Saturated Fat" measure="1" displayFolder="" measureGroup="Range 1" count="0" hidden="1">
      <extLst>
        <ext xmlns:x15="http://schemas.microsoft.com/office/spreadsheetml/2010/11/main" uri="{B97F6D7D-B522-45F9-BDA1-12C45D357490}">
          <x15:cacheHierarchy aggregatedColumn="32"/>
        </ext>
      </extLst>
    </cacheHierarchy>
    <cacheHierarchy uniqueName="[Measures].[Sum of Protein 2]" caption="Sum of Protein 2" measure="1" displayFolder="" measureGroup="Range 1" count="0" hidden="1">
      <extLst>
        <ext xmlns:x15="http://schemas.microsoft.com/office/spreadsheetml/2010/11/main" uri="{B97F6D7D-B522-45F9-BDA1-12C45D357490}">
          <x15:cacheHierarchy aggregatedColumn="44"/>
        </ext>
      </extLst>
    </cacheHierarchy>
    <cacheHierarchy uniqueName="[Measures].[Sum of Cholesterol]" caption="Sum of Cholesterol" measure="1" displayFolder="" measureGroup="Range 1" count="0" hidden="1">
      <extLst>
        <ext xmlns:x15="http://schemas.microsoft.com/office/spreadsheetml/2010/11/main" uri="{B97F6D7D-B522-45F9-BDA1-12C45D357490}">
          <x15:cacheHierarchy aggregatedColumn="35"/>
        </ext>
      </extLst>
    </cacheHierarchy>
    <cacheHierarchy uniqueName="[Measures].[Count of HighNutrients]" caption="Count of HighNutrients" measure="1" displayFolder="" measureGroup="Range 1" count="0" hidden="1">
      <extLst>
        <ext xmlns:x15="http://schemas.microsoft.com/office/spreadsheetml/2010/11/main" uri="{B97F6D7D-B522-45F9-BDA1-12C45D357490}">
          <x15:cacheHierarchy aggregatedColumn="49"/>
        </ext>
      </extLst>
    </cacheHierarchy>
    <cacheHierarchy uniqueName="[Measures].[Sum of Carbohydrates]" caption="Sum of Carbohydrates" measure="1" displayFolder="" measureGroup="Range 1" count="0" hidden="1">
      <extLst>
        <ext xmlns:x15="http://schemas.microsoft.com/office/spreadsheetml/2010/11/main" uri="{B97F6D7D-B522-45F9-BDA1-12C45D357490}">
          <x15:cacheHierarchy aggregatedColumn="39"/>
        </ext>
      </extLst>
    </cacheHierarchy>
    <cacheHierarchy uniqueName="[Measures].[Sum of Carbohydrates (% Daily Value) 2]" caption="Sum of Carbohydrates (% Daily Value) 2" measure="1" displayFolder="" measureGroup="Range 1" count="0" hidden="1">
      <extLst>
        <ext xmlns:x15="http://schemas.microsoft.com/office/spreadsheetml/2010/11/main" uri="{B97F6D7D-B522-45F9-BDA1-12C45D357490}">
          <x15:cacheHierarchy aggregatedColumn="40"/>
        </ext>
      </extLst>
    </cacheHierarchy>
    <cacheHierarchy uniqueName="[Measures].[Count of Category]" caption="Count of Category" measure="1" displayFolder="" measureGroup="Range"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39904776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BE6F305-3130-40B2-856A-1D4435FB108F}" name="PivotTable2" cacheId="4" applyNumberFormats="0" applyBorderFormats="0" applyFontFormats="0" applyPatternFormats="0" applyAlignmentFormats="0" applyWidthHeightFormats="1" dataCaption="Values" updatedVersion="8" minRefreshableVersion="3" useAutoFormatting="1" subtotalHiddenItems="1" itemPrintTitles="1" createdVersion="8" indent="0" compact="0" outline="1" outlineData="1" compactData="0" multipleFieldFilters="0">
  <location ref="A3:D12" firstHeaderRow="0" firstDataRow="1" firstDataCol="2"/>
  <pivotFields count="5">
    <pivotField compact="0" allDrilled="1" showAll="0" defaultSubtotal="0" defaultAttributeDrillState="1">
      <items count="1">
        <item s="1" x="0"/>
      </items>
    </pivotField>
    <pivotField axis="axisRow" compact="0" allDrilled="1" subtotalTop="0" showAll="0" dataSourceSort="1" defaultSubtotal="0" defaultAttributeDrillState="1">
      <items count="1">
        <item s="1" x="0"/>
      </items>
    </pivotField>
    <pivotField axis="axisRow" compact="0" allDrilled="1" subtotalTop="0" showAll="0" defaultSubtotal="0" defaultAttributeDrillState="1">
      <items count="7">
        <item x="0"/>
        <item x="1"/>
        <item x="2"/>
        <item x="3"/>
        <item x="4"/>
        <item x="5"/>
        <item x="6"/>
      </items>
    </pivotField>
    <pivotField dataField="1" compact="0" subtotalTop="0" showAll="0" defaultSubtotal="0"/>
    <pivotField dataField="1" compact="0" subtotalTop="0" showAll="0" defaultSubtotal="0"/>
  </pivotFields>
  <rowFields count="2">
    <field x="1"/>
    <field x="2"/>
  </rowFields>
  <rowItems count="9">
    <i>
      <x/>
    </i>
    <i r="1">
      <x/>
    </i>
    <i r="1">
      <x v="1"/>
    </i>
    <i r="1">
      <x v="2"/>
    </i>
    <i r="1">
      <x v="3"/>
    </i>
    <i r="1">
      <x v="4"/>
    </i>
    <i r="1">
      <x v="5"/>
    </i>
    <i r="1">
      <x v="6"/>
    </i>
    <i t="grand">
      <x/>
    </i>
  </rowItems>
  <colFields count="1">
    <field x="-2"/>
  </colFields>
  <colItems count="2">
    <i>
      <x/>
    </i>
    <i i="1">
      <x v="1"/>
    </i>
  </colItems>
  <dataFields count="2">
    <dataField name="Sum of Sugars" fld="3" baseField="0" baseItem="0"/>
    <dataField name="Sum of Sodium" fld="4" baseField="0" baseItem="0"/>
  </dataFields>
  <pivotHierarchies count="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4"/>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u (2)!$A$1:$Z$261">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42897A-DAE4-495C-854D-BC193A9031B3}" name="PivotTable3" cacheId="110" applyNumberFormats="0" applyBorderFormats="0" applyFontFormats="0" applyPatternFormats="0" applyAlignmentFormats="0" applyWidthHeightFormats="1" dataCaption="Values" updatedVersion="8" minRefreshableVersion="3" useAutoFormatting="1" subtotalHiddenItems="1" itemPrintTitles="1" createdVersion="8" indent="0" compact="0" outline="1" outlineData="1" compactData="0" multipleFieldFilters="0" chartFormat="6">
  <location ref="A3:C29" firstHeaderRow="1" firstDataRow="1" firstDataCol="2"/>
  <pivotFields count="4">
    <pivotField compact="0" allDrilled="1" showAll="0" defaultSubtotal="0" defaultAttributeDrillState="1">
      <items count="1">
        <item s="1" x="0"/>
      </items>
    </pivotField>
    <pivotField axis="axisRow" compact="0" allDrilled="1" subtotalTop="0" showAll="0" dataSourceSort="1" defaultSubtotal="0" defaultAttributeDrillState="1">
      <items count="1">
        <item s="1" x="0"/>
      </items>
    </pivotField>
    <pivotField axis="axisRow" compact="0" allDrilled="1" subtotalTop="0" showAll="0" measureFilter="1"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 dataField="1" compact="0" subtotalTop="0" showAll="0" defaultSubtotal="0"/>
  </pivotFields>
  <rowFields count="2">
    <field x="1"/>
    <field x="2"/>
  </rowFields>
  <rowItems count="26">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Items count="1">
    <i/>
  </colItems>
  <dataFields count="1">
    <dataField name="Sum of Calories" fld="3" baseField="0" baseItem="0"/>
  </dataFields>
  <chartFormats count="3">
    <chartFormat chart="0" format="0" series="1">
      <pivotArea type="data" outline="0" fieldPosition="0">
        <references count="1">
          <reference field="4294967294" count="1" selected="0">
            <x v="0"/>
          </reference>
        </references>
      </pivotArea>
    </chartFormat>
    <chartFormat chart="4" format="12" series="1">
      <pivotArea type="data" outline="0" fieldPosition="0">
        <references count="1">
          <reference field="4294967294" count="1" selected="0">
            <x v="0"/>
          </reference>
        </references>
      </pivotArea>
    </chartFormat>
    <chartFormat chart="4" format="15">
      <pivotArea type="data" outline="0" fieldPosition="0">
        <references count="3">
          <reference field="4294967294" count="1" selected="0">
            <x v="0"/>
          </reference>
          <reference field="1" count="1" selected="0">
            <x v="0"/>
          </reference>
          <reference field="2" count="1" selected="0">
            <x v="0"/>
          </reference>
        </references>
      </pivotArea>
    </chartFormat>
  </chartFormats>
  <pivotHierarchies count="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valueLessThanOrEqual" id="1" iMeasureHier="70">
      <autoFilter ref="A1">
        <filterColumn colId="0">
          <customFilters>
            <customFilter operator="lessThanOrEqual" val="500"/>
          </customFilters>
        </filterColumn>
      </autoFilter>
    </filter>
  </filters>
  <rowHierarchiesUsage count="2">
    <rowHierarchyUsage hierarchyUsage="24"/>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u (2)!$A$1:$Z$261">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3133C42-F1A2-43C0-9622-B3D948B98658}" name="PivotTable1" cacheId="85"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location ref="A3:C26" firstHeaderRow="1" firstDataRow="1" firstDataCol="2" rowPageCount="1" colPageCount="1"/>
  <pivotFields count="5">
    <pivotField compact="0" allDrilled="1" outline="0" showAll="0" defaultSubtotal="0" defaultAttributeDrillState="1">
      <items count="1">
        <item s="1" x="0"/>
      </items>
    </pivotField>
    <pivotField axis="axisRow" compact="0" allDrilled="1" outline="0" subtotalTop="0" showAll="0" defaultSubtotal="0" defaultAttributeDrillState="1">
      <items count="6">
        <item x="1"/>
        <item x="3"/>
        <item x="4"/>
        <item x="5"/>
        <item x="2"/>
        <item x="0"/>
      </items>
      <extLst>
        <ext xmlns:x14="http://schemas.microsoft.com/office/spreadsheetml/2009/9/main" uri="{2946ED86-A175-432a-8AC1-64E0C546D7DE}">
          <x14:pivotField fillDownLabels="1"/>
        </ext>
      </extLst>
    </pivotField>
    <pivotField axis="axisRow" compact="0" allDrilled="1" outline="0" subtotalTop="0" showAll="0" measureFilter="1" sortType="descending" defaultSubtotal="0" defaultAttributeDrillState="1">
      <items count="2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Page" compact="0" allDrilled="1" outline="0" subtotalTop="0" showAll="0" dataSourceSort="1" defaultSubtotal="0" defaultAttributeDrillState="1"/>
  </pivotFields>
  <rowFields count="2">
    <field x="1"/>
    <field x="2"/>
  </rowFields>
  <rowItems count="23">
    <i>
      <x/>
      <x v="2"/>
    </i>
    <i r="1">
      <x v="7"/>
    </i>
    <i r="1">
      <x v="3"/>
    </i>
    <i r="1">
      <x v="9"/>
    </i>
    <i r="1">
      <x v="10"/>
    </i>
    <i r="1">
      <x v="8"/>
    </i>
    <i r="1">
      <x v="14"/>
    </i>
    <i r="1">
      <x v="12"/>
    </i>
    <i r="1">
      <x v="13"/>
    </i>
    <i r="1">
      <x v="11"/>
    </i>
    <i r="1">
      <x v="17"/>
    </i>
    <i r="1">
      <x v="4"/>
    </i>
    <i r="1">
      <x v="6"/>
    </i>
    <i r="1">
      <x v="15"/>
    </i>
    <i r="1">
      <x v="1"/>
    </i>
    <i r="1">
      <x v="5"/>
    </i>
    <i r="1">
      <x v="16"/>
    </i>
    <i>
      <x v="4"/>
      <x v="20"/>
    </i>
    <i r="1">
      <x v="18"/>
    </i>
    <i r="1">
      <x v="22"/>
    </i>
    <i r="1">
      <x v="19"/>
    </i>
    <i r="1">
      <x v="21"/>
    </i>
    <i>
      <x v="5"/>
      <x/>
    </i>
  </rowItems>
  <colItems count="1">
    <i/>
  </colItems>
  <pageFields count="1">
    <pageField fld="4" hier="29" name="[Range 1].[FatCaloriesPercent].[All]" cap="All"/>
  </pageFields>
  <dataFields count="1">
    <dataField name="Sum of FatCaloriesPercent" fld="3" baseField="0" baseItem="0"/>
  </dataFields>
  <formats count="20">
    <format dxfId="20">
      <pivotArea fieldPosition="0">
        <references count="2">
          <reference field="1" count="1" selected="0">
            <x v="1048832"/>
          </reference>
          <reference field="2" count="15">
            <x v="0"/>
            <x v="23"/>
            <x v="24"/>
            <x v="25"/>
            <x v="26"/>
            <x v="27"/>
            <x v="28"/>
            <x v="29"/>
            <x v="30"/>
            <x v="31"/>
            <x v="32"/>
            <x v="33"/>
            <x v="34"/>
            <x v="35"/>
            <x v="36"/>
          </reference>
        </references>
      </pivotArea>
    </format>
    <format dxfId="19">
      <pivotArea fieldPosition="0">
        <references count="1">
          <reference field="1" count="1">
            <x v="1"/>
          </reference>
        </references>
      </pivotArea>
    </format>
    <format dxfId="18">
      <pivotArea fieldPosition="0">
        <references count="2">
          <reference field="1" count="1" selected="0">
            <x v="1"/>
          </reference>
          <reference field="2" count="27">
            <x v="37"/>
            <x v="38"/>
            <x v="39"/>
            <x v="40"/>
            <x v="41"/>
            <x v="42"/>
            <x v="43"/>
            <x v="44"/>
            <x v="45"/>
            <x v="46"/>
            <x v="47"/>
            <x v="48"/>
            <x v="49"/>
            <x v="50"/>
            <x v="51"/>
            <x v="52"/>
            <x v="53"/>
            <x v="54"/>
            <x v="55"/>
            <x v="56"/>
            <x v="57"/>
            <x v="58"/>
            <x v="59"/>
            <x v="60"/>
            <x v="61"/>
            <x v="62"/>
            <x v="63"/>
          </reference>
        </references>
      </pivotArea>
    </format>
    <format dxfId="17">
      <pivotArea fieldPosition="0">
        <references count="1">
          <reference field="1" count="1">
            <x v="0"/>
          </reference>
        </references>
      </pivotArea>
    </format>
    <format dxfId="16">
      <pivotArea fieldPosition="0">
        <references count="2">
          <reference field="1" count="1" selected="0">
            <x v="0"/>
          </reference>
          <reference field="2" count="42">
            <x v="1"/>
            <x v="2"/>
            <x v="3"/>
            <x v="4"/>
            <x v="5"/>
            <x v="6"/>
            <x v="7"/>
            <x v="8"/>
            <x v="9"/>
            <x v="10"/>
            <x v="11"/>
            <x v="12"/>
            <x v="13"/>
            <x v="14"/>
            <x v="15"/>
            <x v="16"/>
            <x v="17"/>
            <x v="64"/>
            <x v="65"/>
            <x v="66"/>
            <x v="67"/>
            <x v="68"/>
            <x v="69"/>
            <x v="70"/>
            <x v="71"/>
            <x v="72"/>
            <x v="73"/>
            <x v="74"/>
            <x v="75"/>
            <x v="76"/>
            <x v="77"/>
            <x v="78"/>
            <x v="79"/>
            <x v="80"/>
            <x v="81"/>
            <x v="82"/>
            <x v="83"/>
            <x v="84"/>
            <x v="85"/>
            <x v="86"/>
            <x v="87"/>
            <x v="88"/>
          </reference>
        </references>
      </pivotArea>
    </format>
    <format dxfId="15">
      <pivotArea fieldPosition="0">
        <references count="1">
          <reference field="1" count="1">
            <x v="1048832"/>
          </reference>
        </references>
      </pivotArea>
    </format>
    <format dxfId="14">
      <pivotArea fieldPosition="0">
        <references count="2">
          <reference field="1" count="1" selected="0">
            <x v="1048832"/>
          </reference>
          <reference field="2" count="27">
            <x v="18"/>
            <x v="19"/>
            <x v="20"/>
            <x v="21"/>
            <x v="22"/>
            <x v="89"/>
            <x v="90"/>
            <x v="91"/>
            <x v="92"/>
            <x v="93"/>
            <x v="94"/>
            <x v="95"/>
            <x v="96"/>
            <x v="97"/>
            <x v="98"/>
            <x v="99"/>
            <x v="100"/>
            <x v="101"/>
            <x v="102"/>
            <x v="103"/>
            <x v="104"/>
            <x v="105"/>
            <x v="106"/>
            <x v="107"/>
            <x v="108"/>
            <x v="109"/>
            <x v="110"/>
          </reference>
        </references>
      </pivotArea>
    </format>
    <format dxfId="13">
      <pivotArea fieldPosition="0">
        <references count="1">
          <reference field="1" count="1">
            <x v="1048832"/>
          </reference>
        </references>
      </pivotArea>
    </format>
    <format dxfId="12">
      <pivotArea fieldPosition="0">
        <references count="2">
          <reference field="1" count="1" selected="0">
            <x v="1048832"/>
          </reference>
          <reference field="2" count="95">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x v="203"/>
            <x v="204"/>
            <x v="205"/>
          </reference>
        </references>
      </pivotArea>
    </format>
    <format dxfId="11">
      <pivotArea fieldPosition="0">
        <references count="1">
          <reference field="1" count="1">
            <x v="2"/>
          </reference>
        </references>
      </pivotArea>
    </format>
    <format dxfId="10">
      <pivotArea fieldPosition="0">
        <references count="2">
          <reference field="1" count="1" selected="0">
            <x v="2"/>
          </reference>
          <reference field="2" count="7">
            <x v="206"/>
            <x v="207"/>
            <x v="208"/>
            <x v="209"/>
            <x v="210"/>
            <x v="211"/>
            <x v="212"/>
          </reference>
        </references>
      </pivotArea>
    </format>
    <format dxfId="9">
      <pivotArea fieldPosition="0">
        <references count="1">
          <reference field="1" count="1">
            <x v="3"/>
          </reference>
        </references>
      </pivotArea>
    </format>
    <format dxfId="8">
      <pivotArea fieldPosition="0">
        <references count="2">
          <reference field="1" count="1" selected="0">
            <x v="3"/>
          </reference>
          <reference field="2" count="6">
            <x v="213"/>
            <x v="214"/>
            <x v="215"/>
            <x v="216"/>
            <x v="217"/>
            <x v="218"/>
          </reference>
        </references>
      </pivotArea>
    </format>
    <format dxfId="7">
      <pivotArea fieldPosition="0">
        <references count="1">
          <reference field="1" count="1">
            <x v="1048832"/>
          </reference>
        </references>
      </pivotArea>
    </format>
    <format dxfId="6">
      <pivotArea fieldPosition="0">
        <references count="2">
          <reference field="1" count="1" selected="0">
            <x v="1048832"/>
          </reference>
          <reference field="2" count="28">
            <x v="219"/>
            <x v="220"/>
            <x v="221"/>
            <x v="222"/>
            <x v="223"/>
            <x v="224"/>
            <x v="225"/>
            <x v="226"/>
            <x v="227"/>
            <x v="228"/>
            <x v="229"/>
            <x v="230"/>
            <x v="231"/>
            <x v="232"/>
            <x v="233"/>
            <x v="234"/>
            <x v="235"/>
            <x v="236"/>
            <x v="237"/>
            <x v="238"/>
            <x v="239"/>
            <x v="240"/>
            <x v="241"/>
            <x v="242"/>
            <x v="243"/>
            <x v="244"/>
            <x v="245"/>
            <x v="246"/>
          </reference>
        </references>
      </pivotArea>
    </format>
    <format dxfId="5">
      <pivotArea fieldPosition="0">
        <references count="1">
          <reference field="1" count="1">
            <x v="1048832"/>
          </reference>
        </references>
      </pivotArea>
    </format>
    <format dxfId="4">
      <pivotArea fieldPosition="0">
        <references count="2">
          <reference field="1" count="1" selected="0">
            <x v="1048832"/>
          </reference>
          <reference field="2" count="13">
            <x v="247"/>
            <x v="248"/>
            <x v="249"/>
            <x v="250"/>
            <x v="251"/>
            <x v="252"/>
            <x v="253"/>
            <x v="254"/>
            <x v="255"/>
            <x v="256"/>
            <x v="257"/>
            <x v="258"/>
            <x v="259"/>
          </reference>
        </references>
      </pivotArea>
    </format>
    <format dxfId="3">
      <pivotArea grandRow="1" outline="0" collapsedLevelsAreSubtotals="1" fieldPosition="0"/>
    </format>
    <format dxfId="2">
      <pivotArea outline="0" fieldPosition="0">
        <references count="1">
          <reference field="1" count="1" selected="0">
            <x v="4"/>
          </reference>
        </references>
      </pivotArea>
    </format>
    <format dxfId="1">
      <pivotArea outline="0" fieldPosition="0">
        <references count="1">
          <reference field="1" count="1" selected="0">
            <x v="5"/>
          </reference>
        </references>
      </pivotArea>
    </format>
  </formats>
  <pivotHierarchies count="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valueGreaterThan" id="3" iMeasureHier="74">
      <autoFilter ref="A1">
        <filterColumn colId="0">
          <customFilters>
            <customFilter operator="greaterThan" val="0.5"/>
          </customFilters>
        </filterColumn>
      </autoFilter>
    </filter>
  </filters>
  <rowHierarchiesUsage count="2">
    <rowHierarchyUsage hierarchyUsage="24"/>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u (2)!$A$1:$Z$261">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E08AA69-C1AC-4A1D-AA71-C052C7A7C7B1}" name="PivotTable4" cacheId="113" applyNumberFormats="0" applyBorderFormats="0" applyFontFormats="0" applyPatternFormats="0" applyAlignmentFormats="0" applyWidthHeightFormats="1" dataCaption="Values" updatedVersion="8" minRefreshableVersion="3" useAutoFormatting="1" subtotalHiddenItems="1" itemPrintTitles="1" createdVersion="8" indent="0" compact="0" outline="1" outlineData="1" compactData="0" multipleFieldFilters="0" chartFormat="6">
  <location ref="A3:B8" firstHeaderRow="1" firstDataRow="1" firstDataCol="1"/>
  <pivotFields count="7">
    <pivotField axis="axisRow" compact="0" allDrilled="1"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compact="0" allDrilled="1" subtotalTop="0" showAll="0" dataSourceSort="1" defaultSubtotal="0" defaultAttributeDrillState="1"/>
    <pivotField compact="0" allDrilled="1" subtotalTop="0" showAll="0" dataSourceSort="1" defaultSubtotal="0" defaultAttributeDrillState="1"/>
    <pivotField compact="0" allDrilled="1" subtotalTop="0" showAll="0" dataSourceSort="1" defaultSubtotal="0" defaultAttributeDrillState="1"/>
    <pivotField compact="0" allDrilled="1" subtotalTop="0" showAll="0" dataSourceSort="1" defaultSubtotal="0" defaultAttributeDrillState="1"/>
    <pivotField compact="0" allDrilled="1" subtotalTop="0" showAll="0" dataSourceSort="1" defaultSubtotal="0" defaultAttributeDrillState="1"/>
    <pivotField dataField="1" compact="0" subtotalTop="0" showAll="0" defaultSubtotal="0"/>
  </pivotFields>
  <rowFields count="1">
    <field x="0"/>
  </rowFields>
  <rowItems count="5">
    <i>
      <x v="2"/>
    </i>
    <i>
      <x v="3"/>
    </i>
    <i>
      <x v="1"/>
    </i>
    <i>
      <x/>
    </i>
    <i t="grand">
      <x/>
    </i>
  </rowItems>
  <colItems count="1">
    <i/>
  </colItems>
  <dataFields count="1">
    <dataField name="Count of HighNutrients" fld="6" subtotal="count" baseField="0" baseItem="0"/>
  </dataFields>
  <chartFormats count="2">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 1].[Category].&amp;[Breakfast]"/>
      </members>
    </pivotHierarchy>
    <pivotHierarchy dragToData="1"/>
    <pivotHierarchy dragToData="1"/>
    <pivotHierarchy dragToData="1"/>
    <pivotHierarchy multipleItemSelectionAllowed="1" dragToData="1">
      <members count="47" level="1">
        <member name="[Range 1].[Calories from Fat].&amp;[0]"/>
        <member name="[Range 1].[Calories from Fat].&amp;[5]"/>
        <member name="[Range 1].[Calories from Fat].&amp;[10]"/>
        <member name="[Range 1].[Calories from Fat].&amp;[20]"/>
        <member name="[Range 1].[Calories from Fat].&amp;[30]"/>
        <member name="[Range 1].[Calories from Fat].&amp;[35]"/>
        <member name="[Range 1].[Calories from Fat].&amp;[40]"/>
        <member name="[Range 1].[Calories from Fat].&amp;[45]"/>
        <member name="[Range 1].[Calories from Fat].&amp;[50]"/>
        <member name="[Range 1].[Calories from Fat].&amp;[60]"/>
        <member name="[Range 1].[Calories from Fat].&amp;[70]"/>
        <member name="[Range 1].[Calories from Fat].&amp;[80]"/>
        <member name="[Range 1].[Calories from Fat].&amp;[90]"/>
        <member name="[Range 1].[Calories from Fat].&amp;[100]"/>
        <member name="[Range 1].[Calories from Fat].&amp;[110]"/>
        <member name="[Range 1].[Calories from Fat].&amp;[120]"/>
        <member name="[Range 1].[Calories from Fat].&amp;[130]"/>
        <member name="[Range 1].[Calories from Fat].&amp;[140]"/>
        <member name="[Range 1].[Calories from Fat].&amp;[150]"/>
        <member name="[Range 1].[Calories from Fat].&amp;[160]"/>
        <member name="[Range 1].[Calories from Fat].&amp;[170]"/>
        <member name="[Range 1].[Calories from Fat].&amp;[180]"/>
        <member name="[Range 1].[Calories from Fat].&amp;[190]"/>
        <member name="[Range 1].[Calories from Fat].&amp;[200]"/>
        <member name="[Range 1].[Calories from Fat].&amp;[210]"/>
        <member name="[Range 1].[Calories from Fat].&amp;[220]"/>
        <member name="[Range 1].[Calories from Fat].&amp;[230]"/>
        <member name="[Range 1].[Calories from Fat].&amp;[240]"/>
        <member name="[Range 1].[Calories from Fat].&amp;[250]"/>
        <member name="[Range 1].[Calories from Fat].&amp;[260]"/>
        <member name="[Range 1].[Calories from Fat].&amp;[270]"/>
        <member name="[Range 1].[Calories from Fat].&amp;[280]"/>
        <member name="[Range 1].[Calories from Fat].&amp;[290]"/>
        <member name="[Range 1].[Calories from Fat].&amp;[300]"/>
        <member name="[Range 1].[Calories from Fat].&amp;[310]"/>
        <member name="[Range 1].[Calories from Fat].&amp;[330]"/>
        <member name="[Range 1].[Calories from Fat].&amp;[340]"/>
        <member name="[Range 1].[Calories from Fat].&amp;[360]"/>
        <member name="[Range 1].[Calories from Fat].&amp;[370]"/>
        <member name="[Range 1].[Calories from Fat].&amp;[380]"/>
        <member name="[Range 1].[Calories from Fat].&amp;[410]"/>
        <member name="[Range 1].[Calories from Fat].&amp;[430]"/>
        <member name="[Range 1].[Calories from Fat].&amp;[450]"/>
        <member name="[Range 1].[Calories from Fat].&amp;[470]"/>
        <member name="[Range 1].[Calories from Fat].&amp;[510]"/>
        <member name="[Range 1].[Calories from Fat].&amp;[530]"/>
        <member name="[Range 1].[Calories from Fat].&amp;[540]"/>
      </members>
    </pivotHierarchy>
    <pivotHierarchy dragToData="1"/>
    <pivotHierarchy dragToData="1"/>
    <pivotHierarchy dragToData="1"/>
    <pivotHierarchy dragToData="1"/>
    <pivotHierarchy dragToData="1"/>
    <pivotHierarchy dragToData="1"/>
    <pivotHierarchy multipleItemSelectionAllowed="1" dragToData="1">
      <members count="25" level="1">
        <member name="[Range 1].[Cholesterol].&amp;[0]"/>
        <member name="[Range 1].[Cholesterol].&amp;[5]"/>
        <member name="[Range 1].[Cholesterol].&amp;[10]"/>
        <member name="[Range 1].[Cholesterol].&amp;[15]"/>
        <member name="[Range 1].[Cholesterol].&amp;[20]"/>
        <member name="[Range 1].[Cholesterol].&amp;[25]"/>
        <member name="[Range 1].[Cholesterol].&amp;[30]"/>
        <member name="[Range 1].[Cholesterol].&amp;[35]"/>
        <member name="[Range 1].[Cholesterol].&amp;[40]"/>
        <member name="[Range 1].[Cholesterol].&amp;[45]"/>
        <member name="[Range 1].[Cholesterol].&amp;[50]"/>
        <member name="[Range 1].[Cholesterol].&amp;[55]"/>
        <member name="[Range 1].[Cholesterol].&amp;[60]"/>
        <member name="[Range 1].[Cholesterol].&amp;[65]"/>
        <member name="[Range 1].[Cholesterol].&amp;[70]"/>
        <member name="[Range 1].[Cholesterol].&amp;[75]"/>
        <member name="[Range 1].[Cholesterol].&amp;[80]"/>
        <member name="[Range 1].[Cholesterol].&amp;[85]"/>
        <member name="[Range 1].[Cholesterol].&amp;[90]"/>
        <member name="[Range 1].[Cholesterol].&amp;[95]"/>
        <member name="[Range 1].[Cholesterol].&amp;[105]"/>
        <member name="[Range 1].[Cholesterol].&amp;[110]"/>
        <member name="[Range 1].[Cholesterol].&amp;[115]"/>
        <member name="[Range 1].[Cholesterol].&amp;[135]"/>
        <member name="[Range 1].[Cholesterol].&amp;[160]"/>
      </members>
    </pivotHierarchy>
    <pivotHierarchy dragToData="1"/>
    <pivotHierarchy multipleItemSelectionAllowed="1" dragToData="1">
      <members count="98" level="1">
        <member name="[Range 1].[Sodium].&amp;[0]"/>
        <member name="[Range 1].[Sodium].&amp;[5]"/>
        <member name="[Range 1].[Sodium].&amp;[10]"/>
        <member name="[Range 1].[Sodium].&amp;[15]"/>
        <member name="[Range 1].[Sodium].&amp;[20]"/>
        <member name="[Range 1].[Sodium].&amp;[25]"/>
        <member name="[Range 1].[Sodium].&amp;[30]"/>
        <member name="[Range 1].[Sodium].&amp;[35]"/>
        <member name="[Range 1].[Sodium].&amp;[40]"/>
        <member name="[Range 1].[Sodium].&amp;[45]"/>
        <member name="[Range 1].[Sodium].&amp;[50]"/>
        <member name="[Range 1].[Sodium].&amp;[55]"/>
        <member name="[Range 1].[Sodium].&amp;[60]"/>
        <member name="[Range 1].[Sodium].&amp;[65]"/>
        <member name="[Range 1].[Sodium].&amp;[70]"/>
        <member name="[Range 1].[Sodium].&amp;[75]"/>
        <member name="[Range 1].[Sodium].&amp;[80]"/>
        <member name="[Range 1].[Sodium].&amp;[85]"/>
        <member name="[Range 1].[Sodium].&amp;[90]"/>
        <member name="[Range 1].[Sodium].&amp;[100]"/>
        <member name="[Range 1].[Sodium].&amp;[110]"/>
        <member name="[Range 1].[Sodium].&amp;[115]"/>
        <member name="[Range 1].[Sodium].&amp;[120]"/>
        <member name="[Range 1].[Sodium].&amp;[125]"/>
        <member name="[Range 1].[Sodium].&amp;[130]"/>
        <member name="[Range 1].[Sodium].&amp;[135]"/>
        <member name="[Range 1].[Sodium].&amp;[140]"/>
        <member name="[Range 1].[Sodium].&amp;[150]"/>
        <member name="[Range 1].[Sodium].&amp;[160]"/>
        <member name="[Range 1].[Sodium].&amp;[170]"/>
        <member name="[Range 1].[Sodium].&amp;[180]"/>
        <member name="[Range 1].[Sodium].&amp;[190]"/>
        <member name="[Range 1].[Sodium].&amp;[200]"/>
        <member name="[Range 1].[Sodium].&amp;[210]"/>
        <member name="[Range 1].[Sodium].&amp;[220]"/>
        <member name="[Range 1].[Sodium].&amp;[240]"/>
        <member name="[Range 1].[Sodium].&amp;[250]"/>
        <member name="[Range 1].[Sodium].&amp;[260]"/>
        <member name="[Range 1].[Sodium].&amp;[270]"/>
        <member name="[Range 1].[Sodium].&amp;[280]"/>
        <member name="[Range 1].[Sodium].&amp;[290]"/>
        <member name="[Range 1].[Sodium].&amp;[300]"/>
        <member name="[Range 1].[Sodium].&amp;[310]"/>
        <member name="[Range 1].[Sodium].&amp;[360]"/>
        <member name="[Range 1].[Sodium].&amp;[370]"/>
        <member name="[Range 1].[Sodium].&amp;[380]"/>
        <member name="[Range 1].[Sodium].&amp;[400]"/>
        <member name="[Range 1].[Sodium].&amp;[480]"/>
        <member name="[Range 1].[Sodium].&amp;[540]"/>
        <member name="[Range 1].[Sodium].&amp;[590]"/>
        <member name="[Range 1].[Sodium].&amp;[650]"/>
        <member name="[Range 1].[Sodium].&amp;[680]"/>
        <member name="[Range 1].[Sodium].&amp;[690]"/>
        <member name="[Range 1].[Sodium].&amp;[700]"/>
        <member name="[Range 1].[Sodium].&amp;[720]"/>
        <member name="[Range 1].[Sodium].&amp;[730]"/>
        <member name="[Range 1].[Sodium].&amp;[750]"/>
        <member name="[Range 1].[Sodium].&amp;[760]"/>
        <member name="[Range 1].[Sodium].&amp;[770]"/>
        <member name="[Range 1].[Sodium].&amp;[780]"/>
        <member name="[Range 1].[Sodium].&amp;[790]"/>
        <member name="[Range 1].[Sodium].&amp;[800]"/>
        <member name="[Range 1].[Sodium].&amp;[810]"/>
        <member name="[Range 1].[Sodium].&amp;[820]"/>
        <member name="[Range 1].[Sodium].&amp;[840]"/>
        <member name="[Range 1].[Sodium].&amp;[850]"/>
        <member name="[Range 1].[Sodium].&amp;[860]"/>
        <member name="[Range 1].[Sodium].&amp;[880]"/>
        <member name="[Range 1].[Sodium].&amp;[900]"/>
        <member name="[Range 1].[Sodium].&amp;[910]"/>
        <member name="[Range 1].[Sodium].&amp;[930]"/>
        <member name="[Range 1].[Sodium].&amp;[960]"/>
        <member name="[Range 1].[Sodium].&amp;[980]"/>
        <member name="[Range 1].[Sodium].&amp;[990]"/>
        <member name="[Range 1].[Sodium].&amp;[1030]"/>
        <member name="[Range 1].[Sodium].&amp;[1040]"/>
        <member name="[Range 1].[Sodium].&amp;[1080]"/>
        <member name="[Range 1].[Sodium].&amp;[1090]"/>
        <member name="[Range 1].[Sodium].&amp;[1100]"/>
        <member name="[Range 1].[Sodium].&amp;[1110]"/>
        <member name="[Range 1].[Sodium].&amp;[1170]"/>
        <member name="[Range 1].[Sodium].&amp;[1180]"/>
        <member name="[Range 1].[Sodium].&amp;[1190]"/>
        <member name="[Range 1].[Sodium].&amp;[1230]"/>
        <member name="[Range 1].[Sodium].&amp;[1250]"/>
        <member name="[Range 1].[Sodium].&amp;[1260]"/>
        <member name="[Range 1].[Sodium].&amp;[1280]"/>
        <member name="[Range 1].[Sodium].&amp;[1290]"/>
        <member name="[Range 1].[Sodium].&amp;[1300]"/>
        <member name="[Range 1].[Sodium].&amp;[1320]"/>
        <member name="[Range 1].[Sodium].&amp;[1340]"/>
        <member name="[Range 1].[Sodium].&amp;[1370]"/>
        <member name="[Range 1].[Sodium].&amp;[1400]"/>
        <member name="[Range 1].[Sodium].&amp;[1410]"/>
        <member name="[Range 1].[Sodium].&amp;[1420]"/>
        <member name="[Range 1].[Sodium].&amp;[1440]"/>
        <member name="[Range 1].[Sodium].&amp;[1470]"/>
        <member name="[Range 1].[Sodium].&amp;[1480]"/>
      </members>
    </pivotHierarchy>
    <pivotHierarchy dragToData="1"/>
    <pivotHierarchy dragToData="1"/>
    <pivotHierarchy dragToData="1"/>
    <pivotHierarchy dragToData="1"/>
    <pivotHierarchy dragToData="1"/>
    <pivotHierarchy dragToData="1"/>
    <pivotHierarchy multipleItemSelectionAllowed="1" dragToData="1">
      <members count="18" level="1">
        <member name="[Range 1].[Protein].&amp;[0]"/>
        <member name="[Range 1].[Protein].&amp;[1]"/>
        <member name="[Range 1].[Protein].&amp;[2]"/>
        <member name="[Range 1].[Protein].&amp;[3]"/>
        <member name="[Range 1].[Protein].&amp;[4]"/>
        <member name="[Range 1].[Protein].&amp;[5]"/>
        <member name="[Range 1].[Protein].&amp;[6]"/>
        <member name="[Range 1].[Protein].&amp;[7]"/>
        <member name="[Range 1].[Protein].&amp;[8]"/>
        <member name="[Range 1].[Protein].&amp;[9]"/>
        <member name="[Range 1].[Protein].&amp;[10]"/>
        <member name="[Range 1].[Protein].&amp;[11]"/>
        <member name="[Range 1].[Protein].&amp;[12]"/>
        <member name="[Range 1].[Protein].&amp;[13]"/>
        <member name="[Range 1].[Protein].&amp;[14]"/>
        <member name="[Range 1].[Protein].&amp;[15]"/>
        <member name="[Range 1].[Protein].&amp;[16]"/>
        <member name="[Range 1].[Protein].&amp;[17]"/>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u (2)!$A$1:$Z$261">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A973EDF-378B-4312-BE99-E2A8CA327D83}" name="PivotTable5" cacheId="2" applyNumberFormats="0" applyBorderFormats="0" applyFontFormats="0" applyPatternFormats="0" applyAlignmentFormats="0" applyWidthHeightFormats="1" dataCaption="Values" updatedVersion="8" minRefreshableVersion="3" useAutoFormatting="1" subtotalHiddenItems="1" itemPrintTitles="1" createdVersion="8" indent="0" compact="0" outline="1" outlineData="1" compactData="0" multipleFieldFilters="0" chartFormat="4">
  <location ref="A3:C264" firstHeaderRow="0" firstDataRow="1" firstDataCol="1"/>
  <pivotFields count="7">
    <pivotField compact="0" allDrilled="1" subtotalTop="0" showAll="0" dataSourceSort="1" defaultSubtotal="0" defaultAttributeDrillState="1"/>
    <pivotField compact="0" allDrilled="1" subtotalTop="0" showAll="0" dataSourceSort="1" defaultSubtotal="0" defaultAttributeDrillState="1"/>
    <pivotField compact="0" allDrilled="1" subtotalTop="0" showAll="0" dataSourceSort="1" defaultSubtotal="0" defaultAttributeDrillState="1"/>
    <pivotField compact="0" allDrilled="1" subtotalTop="0" showAll="0" dataSourceSort="1" defaultSubtotal="0" defaultAttributeDrillState="1"/>
    <pivotField dataField="1" compact="0" subtotalTop="0" showAll="0" defaultSubtotal="0"/>
    <pivotField dataField="1" compact="0" subtotalTop="0" showAll="0" defaultSubtotal="0"/>
    <pivotField axis="axisRow" compact="0" allDrilled="1" subtotalTop="0" showAll="0" dataSourceSort="1" defaultSubtotal="0" defaultAttributeDrillState="1">
      <items count="2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s>
    </pivotField>
  </pivotFields>
  <rowFields count="1">
    <field x="6"/>
  </rowFields>
  <rowItems count="26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t="grand">
      <x/>
    </i>
  </rowItems>
  <colFields count="1">
    <field x="-2"/>
  </colFields>
  <colItems count="2">
    <i>
      <x/>
    </i>
    <i i="1">
      <x v="1"/>
    </i>
  </colItems>
  <dataFields count="2">
    <dataField name="Sum of Calories" fld="4" baseField="0" baseItem="0"/>
    <dataField name="Sum of Calories from Fat" fld="5" baseField="0" baseItem="0"/>
  </dataFields>
  <pivotHierarchies count="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47" level="1">
        <member name="[Range 1].[Calories from Fat].&amp;[0]"/>
        <member name="[Range 1].[Calories from Fat].&amp;[5]"/>
        <member name="[Range 1].[Calories from Fat].&amp;[10]"/>
        <member name="[Range 1].[Calories from Fat].&amp;[20]"/>
        <member name="[Range 1].[Calories from Fat].&amp;[30]"/>
        <member name="[Range 1].[Calories from Fat].&amp;[35]"/>
        <member name="[Range 1].[Calories from Fat].&amp;[40]"/>
        <member name="[Range 1].[Calories from Fat].&amp;[45]"/>
        <member name="[Range 1].[Calories from Fat].&amp;[50]"/>
        <member name="[Range 1].[Calories from Fat].&amp;[60]"/>
        <member name="[Range 1].[Calories from Fat].&amp;[70]"/>
        <member name="[Range 1].[Calories from Fat].&amp;[80]"/>
        <member name="[Range 1].[Calories from Fat].&amp;[90]"/>
        <member name="[Range 1].[Calories from Fat].&amp;[100]"/>
        <member name="[Range 1].[Calories from Fat].&amp;[110]"/>
        <member name="[Range 1].[Calories from Fat].&amp;[120]"/>
        <member name="[Range 1].[Calories from Fat].&amp;[130]"/>
        <member name="[Range 1].[Calories from Fat].&amp;[140]"/>
        <member name="[Range 1].[Calories from Fat].&amp;[150]"/>
        <member name="[Range 1].[Calories from Fat].&amp;[160]"/>
        <member name="[Range 1].[Calories from Fat].&amp;[170]"/>
        <member name="[Range 1].[Calories from Fat].&amp;[180]"/>
        <member name="[Range 1].[Calories from Fat].&amp;[190]"/>
        <member name="[Range 1].[Calories from Fat].&amp;[200]"/>
        <member name="[Range 1].[Calories from Fat].&amp;[210]"/>
        <member name="[Range 1].[Calories from Fat].&amp;[220]"/>
        <member name="[Range 1].[Calories from Fat].&amp;[230]"/>
        <member name="[Range 1].[Calories from Fat].&amp;[240]"/>
        <member name="[Range 1].[Calories from Fat].&amp;[250]"/>
        <member name="[Range 1].[Calories from Fat].&amp;[260]"/>
        <member name="[Range 1].[Calories from Fat].&amp;[270]"/>
        <member name="[Range 1].[Calories from Fat].&amp;[280]"/>
        <member name="[Range 1].[Calories from Fat].&amp;[290]"/>
        <member name="[Range 1].[Calories from Fat].&amp;[300]"/>
        <member name="[Range 1].[Calories from Fat].&amp;[310]"/>
        <member name="[Range 1].[Calories from Fat].&amp;[330]"/>
        <member name="[Range 1].[Calories from Fat].&amp;[340]"/>
        <member name="[Range 1].[Calories from Fat].&amp;[360]"/>
        <member name="[Range 1].[Calories from Fat].&amp;[370]"/>
        <member name="[Range 1].[Calories from Fat].&amp;[380]"/>
        <member name="[Range 1].[Calories from Fat].&amp;[410]"/>
        <member name="[Range 1].[Calories from Fat].&amp;[430]"/>
        <member name="[Range 1].[Calories from Fat].&amp;[450]"/>
        <member name="[Range 1].[Calories from Fat].&amp;[470]"/>
        <member name="[Range 1].[Calories from Fat].&amp;[510]"/>
        <member name="[Range 1].[Calories from Fat].&amp;[530]"/>
        <member name="[Range 1].[Calories from Fat].&amp;[540]"/>
      </members>
    </pivotHierarchy>
    <pivotHierarchy dragToData="1"/>
    <pivotHierarchy dragToData="1"/>
    <pivotHierarchy dragToData="1"/>
    <pivotHierarchy dragToData="1"/>
    <pivotHierarchy dragToData="1"/>
    <pivotHierarchy dragToData="1"/>
    <pivotHierarchy multipleItemSelectionAllowed="1" dragToData="1">
      <members count="25" level="1">
        <member name="[Range 1].[Cholesterol].&amp;[0]"/>
        <member name="[Range 1].[Cholesterol].&amp;[5]"/>
        <member name="[Range 1].[Cholesterol].&amp;[10]"/>
        <member name="[Range 1].[Cholesterol].&amp;[15]"/>
        <member name="[Range 1].[Cholesterol].&amp;[20]"/>
        <member name="[Range 1].[Cholesterol].&amp;[25]"/>
        <member name="[Range 1].[Cholesterol].&amp;[30]"/>
        <member name="[Range 1].[Cholesterol].&amp;[35]"/>
        <member name="[Range 1].[Cholesterol].&amp;[40]"/>
        <member name="[Range 1].[Cholesterol].&amp;[45]"/>
        <member name="[Range 1].[Cholesterol].&amp;[50]"/>
        <member name="[Range 1].[Cholesterol].&amp;[55]"/>
        <member name="[Range 1].[Cholesterol].&amp;[60]"/>
        <member name="[Range 1].[Cholesterol].&amp;[65]"/>
        <member name="[Range 1].[Cholesterol].&amp;[70]"/>
        <member name="[Range 1].[Cholesterol].&amp;[75]"/>
        <member name="[Range 1].[Cholesterol].&amp;[80]"/>
        <member name="[Range 1].[Cholesterol].&amp;[85]"/>
        <member name="[Range 1].[Cholesterol].&amp;[90]"/>
        <member name="[Range 1].[Cholesterol].&amp;[95]"/>
        <member name="[Range 1].[Cholesterol].&amp;[105]"/>
        <member name="[Range 1].[Cholesterol].&amp;[110]"/>
        <member name="[Range 1].[Cholesterol].&amp;[115]"/>
        <member name="[Range 1].[Cholesterol].&amp;[135]"/>
        <member name="[Range 1].[Cholesterol].&amp;[160]"/>
      </members>
    </pivotHierarchy>
    <pivotHierarchy dragToData="1"/>
    <pivotHierarchy multipleItemSelectionAllowed="1" dragToData="1">
      <members count="98" level="1">
        <member name="[Range 1].[Sodium].&amp;[0]"/>
        <member name="[Range 1].[Sodium].&amp;[5]"/>
        <member name="[Range 1].[Sodium].&amp;[10]"/>
        <member name="[Range 1].[Sodium].&amp;[15]"/>
        <member name="[Range 1].[Sodium].&amp;[20]"/>
        <member name="[Range 1].[Sodium].&amp;[25]"/>
        <member name="[Range 1].[Sodium].&amp;[30]"/>
        <member name="[Range 1].[Sodium].&amp;[35]"/>
        <member name="[Range 1].[Sodium].&amp;[40]"/>
        <member name="[Range 1].[Sodium].&amp;[45]"/>
        <member name="[Range 1].[Sodium].&amp;[50]"/>
        <member name="[Range 1].[Sodium].&amp;[55]"/>
        <member name="[Range 1].[Sodium].&amp;[60]"/>
        <member name="[Range 1].[Sodium].&amp;[65]"/>
        <member name="[Range 1].[Sodium].&amp;[70]"/>
        <member name="[Range 1].[Sodium].&amp;[75]"/>
        <member name="[Range 1].[Sodium].&amp;[80]"/>
        <member name="[Range 1].[Sodium].&amp;[85]"/>
        <member name="[Range 1].[Sodium].&amp;[90]"/>
        <member name="[Range 1].[Sodium].&amp;[100]"/>
        <member name="[Range 1].[Sodium].&amp;[110]"/>
        <member name="[Range 1].[Sodium].&amp;[115]"/>
        <member name="[Range 1].[Sodium].&amp;[120]"/>
        <member name="[Range 1].[Sodium].&amp;[125]"/>
        <member name="[Range 1].[Sodium].&amp;[130]"/>
        <member name="[Range 1].[Sodium].&amp;[135]"/>
        <member name="[Range 1].[Sodium].&amp;[140]"/>
        <member name="[Range 1].[Sodium].&amp;[150]"/>
        <member name="[Range 1].[Sodium].&amp;[160]"/>
        <member name="[Range 1].[Sodium].&amp;[170]"/>
        <member name="[Range 1].[Sodium].&amp;[180]"/>
        <member name="[Range 1].[Sodium].&amp;[190]"/>
        <member name="[Range 1].[Sodium].&amp;[200]"/>
        <member name="[Range 1].[Sodium].&amp;[210]"/>
        <member name="[Range 1].[Sodium].&amp;[220]"/>
        <member name="[Range 1].[Sodium].&amp;[240]"/>
        <member name="[Range 1].[Sodium].&amp;[250]"/>
        <member name="[Range 1].[Sodium].&amp;[260]"/>
        <member name="[Range 1].[Sodium].&amp;[270]"/>
        <member name="[Range 1].[Sodium].&amp;[280]"/>
        <member name="[Range 1].[Sodium].&amp;[290]"/>
        <member name="[Range 1].[Sodium].&amp;[300]"/>
        <member name="[Range 1].[Sodium].&amp;[310]"/>
        <member name="[Range 1].[Sodium].&amp;[360]"/>
        <member name="[Range 1].[Sodium].&amp;[370]"/>
        <member name="[Range 1].[Sodium].&amp;[380]"/>
        <member name="[Range 1].[Sodium].&amp;[400]"/>
        <member name="[Range 1].[Sodium].&amp;[480]"/>
        <member name="[Range 1].[Sodium].&amp;[540]"/>
        <member name="[Range 1].[Sodium].&amp;[590]"/>
        <member name="[Range 1].[Sodium].&amp;[650]"/>
        <member name="[Range 1].[Sodium].&amp;[680]"/>
        <member name="[Range 1].[Sodium].&amp;[690]"/>
        <member name="[Range 1].[Sodium].&amp;[700]"/>
        <member name="[Range 1].[Sodium].&amp;[720]"/>
        <member name="[Range 1].[Sodium].&amp;[730]"/>
        <member name="[Range 1].[Sodium].&amp;[750]"/>
        <member name="[Range 1].[Sodium].&amp;[760]"/>
        <member name="[Range 1].[Sodium].&amp;[770]"/>
        <member name="[Range 1].[Sodium].&amp;[780]"/>
        <member name="[Range 1].[Sodium].&amp;[790]"/>
        <member name="[Range 1].[Sodium].&amp;[800]"/>
        <member name="[Range 1].[Sodium].&amp;[810]"/>
        <member name="[Range 1].[Sodium].&amp;[820]"/>
        <member name="[Range 1].[Sodium].&amp;[840]"/>
        <member name="[Range 1].[Sodium].&amp;[850]"/>
        <member name="[Range 1].[Sodium].&amp;[860]"/>
        <member name="[Range 1].[Sodium].&amp;[880]"/>
        <member name="[Range 1].[Sodium].&amp;[900]"/>
        <member name="[Range 1].[Sodium].&amp;[910]"/>
        <member name="[Range 1].[Sodium].&amp;[930]"/>
        <member name="[Range 1].[Sodium].&amp;[960]"/>
        <member name="[Range 1].[Sodium].&amp;[980]"/>
        <member name="[Range 1].[Sodium].&amp;[990]"/>
        <member name="[Range 1].[Sodium].&amp;[1030]"/>
        <member name="[Range 1].[Sodium].&amp;[1040]"/>
        <member name="[Range 1].[Sodium].&amp;[1080]"/>
        <member name="[Range 1].[Sodium].&amp;[1090]"/>
        <member name="[Range 1].[Sodium].&amp;[1100]"/>
        <member name="[Range 1].[Sodium].&amp;[1110]"/>
        <member name="[Range 1].[Sodium].&amp;[1170]"/>
        <member name="[Range 1].[Sodium].&amp;[1180]"/>
        <member name="[Range 1].[Sodium].&amp;[1190]"/>
        <member name="[Range 1].[Sodium].&amp;[1230]"/>
        <member name="[Range 1].[Sodium].&amp;[1250]"/>
        <member name="[Range 1].[Sodium].&amp;[1260]"/>
        <member name="[Range 1].[Sodium].&amp;[1280]"/>
        <member name="[Range 1].[Sodium].&amp;[1290]"/>
        <member name="[Range 1].[Sodium].&amp;[1300]"/>
        <member name="[Range 1].[Sodium].&amp;[1320]"/>
        <member name="[Range 1].[Sodium].&amp;[1340]"/>
        <member name="[Range 1].[Sodium].&amp;[1370]"/>
        <member name="[Range 1].[Sodium].&amp;[1400]"/>
        <member name="[Range 1].[Sodium].&amp;[1410]"/>
        <member name="[Range 1].[Sodium].&amp;[1420]"/>
        <member name="[Range 1].[Sodium].&amp;[1440]"/>
        <member name="[Range 1].[Sodium].&amp;[1470]"/>
        <member name="[Range 1].[Sodium].&amp;[1480]"/>
      </members>
    </pivotHierarchy>
    <pivotHierarchy dragToData="1"/>
    <pivotHierarchy dragToData="1"/>
    <pivotHierarchy dragToData="1"/>
    <pivotHierarchy dragToData="1"/>
    <pivotHierarchy dragToData="1"/>
    <pivotHierarchy dragToData="1"/>
    <pivotHierarchy multipleItemSelectionAllowed="1" dragToData="1">
      <members count="18" level="1">
        <member name="[Range 1].[Protein].&amp;[0]"/>
        <member name="[Range 1].[Protein].&amp;[1]"/>
        <member name="[Range 1].[Protein].&amp;[2]"/>
        <member name="[Range 1].[Protein].&amp;[3]"/>
        <member name="[Range 1].[Protein].&amp;[4]"/>
        <member name="[Range 1].[Protein].&amp;[5]"/>
        <member name="[Range 1].[Protein].&amp;[6]"/>
        <member name="[Range 1].[Protein].&amp;[7]"/>
        <member name="[Range 1].[Protein].&amp;[8]"/>
        <member name="[Range 1].[Protein].&amp;[9]"/>
        <member name="[Range 1].[Protein].&amp;[10]"/>
        <member name="[Range 1].[Protein].&amp;[11]"/>
        <member name="[Range 1].[Protein].&amp;[12]"/>
        <member name="[Range 1].[Protein].&amp;[13]"/>
        <member name="[Range 1].[Protein].&amp;[14]"/>
        <member name="[Range 1].[Protein].&amp;[15]"/>
        <member name="[Range 1].[Protein].&amp;[16]"/>
        <member name="[Range 1].[Protein].&amp;[17]"/>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u (2)!$A$1:$Z$261">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B320E89-E88E-4A1D-A7AE-6D98367B2837}" name="PivotTable1" cacheId="1"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multipleFieldFilters="0" chartFormat="4">
  <location ref="A3:C14" firstHeaderRow="1" firstDataRow="1" firstDataCol="2"/>
  <pivotFields count="7">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measureFilter="1" defaultSubtotal="0" defaultAttributeDrillState="1">
      <items count="10">
        <item x="0"/>
        <item x="1"/>
        <item x="2"/>
        <item x="3"/>
        <item x="4"/>
        <item x="5"/>
        <item x="6"/>
        <item x="7"/>
        <item x="8"/>
        <item x="9"/>
      </items>
    </pivotField>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s>
  <rowFields count="2">
    <field x="4"/>
    <field x="6"/>
  </rowFields>
  <rowItems count="11">
    <i>
      <x/>
      <x/>
    </i>
    <i>
      <x v="1"/>
      <x/>
    </i>
    <i>
      <x v="2"/>
      <x v="1"/>
    </i>
    <i>
      <x v="3"/>
      <x v="2"/>
    </i>
    <i>
      <x v="4"/>
      <x v="2"/>
    </i>
    <i>
      <x v="5"/>
      <x v="2"/>
    </i>
    <i>
      <x v="6"/>
      <x v="2"/>
    </i>
    <i>
      <x v="7"/>
      <x v="2"/>
    </i>
    <i>
      <x v="8"/>
      <x v="2"/>
    </i>
    <i>
      <x v="9"/>
      <x v="2"/>
    </i>
    <i t="grand">
      <x/>
    </i>
  </rowItems>
  <colItems count="1">
    <i/>
  </colItems>
  <dataFields count="1">
    <dataField name="Sum of Carbohydrates" fld="5" baseField="0" baseItem="0"/>
  </dataFields>
  <pivotHierarchies count="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47" level="1">
        <member name="[Range 1].[Calories from Fat].&amp;[0]"/>
        <member name="[Range 1].[Calories from Fat].&amp;[5]"/>
        <member name="[Range 1].[Calories from Fat].&amp;[10]"/>
        <member name="[Range 1].[Calories from Fat].&amp;[20]"/>
        <member name="[Range 1].[Calories from Fat].&amp;[30]"/>
        <member name="[Range 1].[Calories from Fat].&amp;[35]"/>
        <member name="[Range 1].[Calories from Fat].&amp;[40]"/>
        <member name="[Range 1].[Calories from Fat].&amp;[45]"/>
        <member name="[Range 1].[Calories from Fat].&amp;[50]"/>
        <member name="[Range 1].[Calories from Fat].&amp;[60]"/>
        <member name="[Range 1].[Calories from Fat].&amp;[70]"/>
        <member name="[Range 1].[Calories from Fat].&amp;[80]"/>
        <member name="[Range 1].[Calories from Fat].&amp;[90]"/>
        <member name="[Range 1].[Calories from Fat].&amp;[100]"/>
        <member name="[Range 1].[Calories from Fat].&amp;[110]"/>
        <member name="[Range 1].[Calories from Fat].&amp;[120]"/>
        <member name="[Range 1].[Calories from Fat].&amp;[130]"/>
        <member name="[Range 1].[Calories from Fat].&amp;[140]"/>
        <member name="[Range 1].[Calories from Fat].&amp;[150]"/>
        <member name="[Range 1].[Calories from Fat].&amp;[160]"/>
        <member name="[Range 1].[Calories from Fat].&amp;[170]"/>
        <member name="[Range 1].[Calories from Fat].&amp;[180]"/>
        <member name="[Range 1].[Calories from Fat].&amp;[190]"/>
        <member name="[Range 1].[Calories from Fat].&amp;[200]"/>
        <member name="[Range 1].[Calories from Fat].&amp;[210]"/>
        <member name="[Range 1].[Calories from Fat].&amp;[220]"/>
        <member name="[Range 1].[Calories from Fat].&amp;[230]"/>
        <member name="[Range 1].[Calories from Fat].&amp;[240]"/>
        <member name="[Range 1].[Calories from Fat].&amp;[250]"/>
        <member name="[Range 1].[Calories from Fat].&amp;[260]"/>
        <member name="[Range 1].[Calories from Fat].&amp;[270]"/>
        <member name="[Range 1].[Calories from Fat].&amp;[280]"/>
        <member name="[Range 1].[Calories from Fat].&amp;[290]"/>
        <member name="[Range 1].[Calories from Fat].&amp;[300]"/>
        <member name="[Range 1].[Calories from Fat].&amp;[310]"/>
        <member name="[Range 1].[Calories from Fat].&amp;[330]"/>
        <member name="[Range 1].[Calories from Fat].&amp;[340]"/>
        <member name="[Range 1].[Calories from Fat].&amp;[360]"/>
        <member name="[Range 1].[Calories from Fat].&amp;[370]"/>
        <member name="[Range 1].[Calories from Fat].&amp;[380]"/>
        <member name="[Range 1].[Calories from Fat].&amp;[410]"/>
        <member name="[Range 1].[Calories from Fat].&amp;[430]"/>
        <member name="[Range 1].[Calories from Fat].&amp;[450]"/>
        <member name="[Range 1].[Calories from Fat].&amp;[470]"/>
        <member name="[Range 1].[Calories from Fat].&amp;[510]"/>
        <member name="[Range 1].[Calories from Fat].&amp;[530]"/>
        <member name="[Range 1].[Calories from Fat].&amp;[540]"/>
      </members>
    </pivotHierarchy>
    <pivotHierarchy dragToData="1"/>
    <pivotHierarchy dragToData="1"/>
    <pivotHierarchy dragToData="1"/>
    <pivotHierarchy dragToData="1"/>
    <pivotHierarchy dragToData="1"/>
    <pivotHierarchy dragToData="1"/>
    <pivotHierarchy multipleItemSelectionAllowed="1" dragToData="1">
      <members count="25" level="1">
        <member name="[Range 1].[Cholesterol].&amp;[0]"/>
        <member name="[Range 1].[Cholesterol].&amp;[5]"/>
        <member name="[Range 1].[Cholesterol].&amp;[10]"/>
        <member name="[Range 1].[Cholesterol].&amp;[15]"/>
        <member name="[Range 1].[Cholesterol].&amp;[20]"/>
        <member name="[Range 1].[Cholesterol].&amp;[25]"/>
        <member name="[Range 1].[Cholesterol].&amp;[30]"/>
        <member name="[Range 1].[Cholesterol].&amp;[35]"/>
        <member name="[Range 1].[Cholesterol].&amp;[40]"/>
        <member name="[Range 1].[Cholesterol].&amp;[45]"/>
        <member name="[Range 1].[Cholesterol].&amp;[50]"/>
        <member name="[Range 1].[Cholesterol].&amp;[55]"/>
        <member name="[Range 1].[Cholesterol].&amp;[60]"/>
        <member name="[Range 1].[Cholesterol].&amp;[65]"/>
        <member name="[Range 1].[Cholesterol].&amp;[70]"/>
        <member name="[Range 1].[Cholesterol].&amp;[75]"/>
        <member name="[Range 1].[Cholesterol].&amp;[80]"/>
        <member name="[Range 1].[Cholesterol].&amp;[85]"/>
        <member name="[Range 1].[Cholesterol].&amp;[90]"/>
        <member name="[Range 1].[Cholesterol].&amp;[95]"/>
        <member name="[Range 1].[Cholesterol].&amp;[105]"/>
        <member name="[Range 1].[Cholesterol].&amp;[110]"/>
        <member name="[Range 1].[Cholesterol].&amp;[115]"/>
        <member name="[Range 1].[Cholesterol].&amp;[135]"/>
        <member name="[Range 1].[Cholesterol].&amp;[160]"/>
      </members>
    </pivotHierarchy>
    <pivotHierarchy dragToData="1"/>
    <pivotHierarchy multipleItemSelectionAllowed="1" dragToData="1">
      <members count="98" level="1">
        <member name="[Range 1].[Sodium].&amp;[0]"/>
        <member name="[Range 1].[Sodium].&amp;[5]"/>
        <member name="[Range 1].[Sodium].&amp;[10]"/>
        <member name="[Range 1].[Sodium].&amp;[15]"/>
        <member name="[Range 1].[Sodium].&amp;[20]"/>
        <member name="[Range 1].[Sodium].&amp;[25]"/>
        <member name="[Range 1].[Sodium].&amp;[30]"/>
        <member name="[Range 1].[Sodium].&amp;[35]"/>
        <member name="[Range 1].[Sodium].&amp;[40]"/>
        <member name="[Range 1].[Sodium].&amp;[45]"/>
        <member name="[Range 1].[Sodium].&amp;[50]"/>
        <member name="[Range 1].[Sodium].&amp;[55]"/>
        <member name="[Range 1].[Sodium].&amp;[60]"/>
        <member name="[Range 1].[Sodium].&amp;[65]"/>
        <member name="[Range 1].[Sodium].&amp;[70]"/>
        <member name="[Range 1].[Sodium].&amp;[75]"/>
        <member name="[Range 1].[Sodium].&amp;[80]"/>
        <member name="[Range 1].[Sodium].&amp;[85]"/>
        <member name="[Range 1].[Sodium].&amp;[90]"/>
        <member name="[Range 1].[Sodium].&amp;[100]"/>
        <member name="[Range 1].[Sodium].&amp;[110]"/>
        <member name="[Range 1].[Sodium].&amp;[115]"/>
        <member name="[Range 1].[Sodium].&amp;[120]"/>
        <member name="[Range 1].[Sodium].&amp;[125]"/>
        <member name="[Range 1].[Sodium].&amp;[130]"/>
        <member name="[Range 1].[Sodium].&amp;[135]"/>
        <member name="[Range 1].[Sodium].&amp;[140]"/>
        <member name="[Range 1].[Sodium].&amp;[150]"/>
        <member name="[Range 1].[Sodium].&amp;[160]"/>
        <member name="[Range 1].[Sodium].&amp;[170]"/>
        <member name="[Range 1].[Sodium].&amp;[180]"/>
        <member name="[Range 1].[Sodium].&amp;[190]"/>
        <member name="[Range 1].[Sodium].&amp;[200]"/>
        <member name="[Range 1].[Sodium].&amp;[210]"/>
        <member name="[Range 1].[Sodium].&amp;[220]"/>
        <member name="[Range 1].[Sodium].&amp;[240]"/>
        <member name="[Range 1].[Sodium].&amp;[250]"/>
        <member name="[Range 1].[Sodium].&amp;[260]"/>
        <member name="[Range 1].[Sodium].&amp;[270]"/>
        <member name="[Range 1].[Sodium].&amp;[280]"/>
        <member name="[Range 1].[Sodium].&amp;[290]"/>
        <member name="[Range 1].[Sodium].&amp;[300]"/>
        <member name="[Range 1].[Sodium].&amp;[310]"/>
        <member name="[Range 1].[Sodium].&amp;[360]"/>
        <member name="[Range 1].[Sodium].&amp;[370]"/>
        <member name="[Range 1].[Sodium].&amp;[380]"/>
        <member name="[Range 1].[Sodium].&amp;[400]"/>
        <member name="[Range 1].[Sodium].&amp;[480]"/>
        <member name="[Range 1].[Sodium].&amp;[540]"/>
        <member name="[Range 1].[Sodium].&amp;[590]"/>
        <member name="[Range 1].[Sodium].&amp;[650]"/>
        <member name="[Range 1].[Sodium].&amp;[680]"/>
        <member name="[Range 1].[Sodium].&amp;[690]"/>
        <member name="[Range 1].[Sodium].&amp;[700]"/>
        <member name="[Range 1].[Sodium].&amp;[720]"/>
        <member name="[Range 1].[Sodium].&amp;[730]"/>
        <member name="[Range 1].[Sodium].&amp;[750]"/>
        <member name="[Range 1].[Sodium].&amp;[760]"/>
        <member name="[Range 1].[Sodium].&amp;[770]"/>
        <member name="[Range 1].[Sodium].&amp;[780]"/>
        <member name="[Range 1].[Sodium].&amp;[790]"/>
        <member name="[Range 1].[Sodium].&amp;[800]"/>
        <member name="[Range 1].[Sodium].&amp;[810]"/>
        <member name="[Range 1].[Sodium].&amp;[820]"/>
        <member name="[Range 1].[Sodium].&amp;[840]"/>
        <member name="[Range 1].[Sodium].&amp;[850]"/>
        <member name="[Range 1].[Sodium].&amp;[860]"/>
        <member name="[Range 1].[Sodium].&amp;[880]"/>
        <member name="[Range 1].[Sodium].&amp;[900]"/>
        <member name="[Range 1].[Sodium].&amp;[910]"/>
        <member name="[Range 1].[Sodium].&amp;[930]"/>
        <member name="[Range 1].[Sodium].&amp;[960]"/>
        <member name="[Range 1].[Sodium].&amp;[980]"/>
        <member name="[Range 1].[Sodium].&amp;[990]"/>
        <member name="[Range 1].[Sodium].&amp;[1030]"/>
        <member name="[Range 1].[Sodium].&amp;[1040]"/>
        <member name="[Range 1].[Sodium].&amp;[1080]"/>
        <member name="[Range 1].[Sodium].&amp;[1090]"/>
        <member name="[Range 1].[Sodium].&amp;[1100]"/>
        <member name="[Range 1].[Sodium].&amp;[1110]"/>
        <member name="[Range 1].[Sodium].&amp;[1170]"/>
        <member name="[Range 1].[Sodium].&amp;[1180]"/>
        <member name="[Range 1].[Sodium].&amp;[1190]"/>
        <member name="[Range 1].[Sodium].&amp;[1230]"/>
        <member name="[Range 1].[Sodium].&amp;[1250]"/>
        <member name="[Range 1].[Sodium].&amp;[1260]"/>
        <member name="[Range 1].[Sodium].&amp;[1280]"/>
        <member name="[Range 1].[Sodium].&amp;[1290]"/>
        <member name="[Range 1].[Sodium].&amp;[1300]"/>
        <member name="[Range 1].[Sodium].&amp;[1320]"/>
        <member name="[Range 1].[Sodium].&amp;[1340]"/>
        <member name="[Range 1].[Sodium].&amp;[1370]"/>
        <member name="[Range 1].[Sodium].&amp;[1400]"/>
        <member name="[Range 1].[Sodium].&amp;[1410]"/>
        <member name="[Range 1].[Sodium].&amp;[1420]"/>
        <member name="[Range 1].[Sodium].&amp;[1440]"/>
        <member name="[Range 1].[Sodium].&amp;[1470]"/>
        <member name="[Range 1].[Sodium].&amp;[1480]"/>
      </members>
    </pivotHierarchy>
    <pivotHierarchy dragToData="1"/>
    <pivotHierarchy dragToData="1"/>
    <pivotHierarchy dragToData="1"/>
    <pivotHierarchy dragToData="1"/>
    <pivotHierarchy dragToData="1"/>
    <pivotHierarchy dragToData="1"/>
    <pivotHierarchy multipleItemSelectionAllowed="1" dragToData="1">
      <members count="18" level="1">
        <member name="[Range 1].[Protein].&amp;[0]"/>
        <member name="[Range 1].[Protein].&amp;[1]"/>
        <member name="[Range 1].[Protein].&amp;[2]"/>
        <member name="[Range 1].[Protein].&amp;[3]"/>
        <member name="[Range 1].[Protein].&amp;[4]"/>
        <member name="[Range 1].[Protein].&amp;[5]"/>
        <member name="[Range 1].[Protein].&amp;[6]"/>
        <member name="[Range 1].[Protein].&amp;[7]"/>
        <member name="[Range 1].[Protein].&amp;[8]"/>
        <member name="[Range 1].[Protein].&amp;[9]"/>
        <member name="[Range 1].[Protein].&amp;[10]"/>
        <member name="[Range 1].[Protein].&amp;[11]"/>
        <member name="[Range 1].[Protein].&amp;[12]"/>
        <member name="[Range 1].[Protein].&amp;[13]"/>
        <member name="[Range 1].[Protein].&amp;[14]"/>
        <member name="[Range 1].[Protein].&amp;[15]"/>
        <member name="[Range 1].[Protein].&amp;[16]"/>
        <member name="[Range 1].[Protein].&amp;[17]"/>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4" type="count" id="5" iMeasureHier="82">
      <autoFilter ref="A1">
        <filterColumn colId="0">
          <top10 val="10" filterVal="10"/>
        </filterColumn>
      </autoFilter>
    </filter>
  </filters>
  <rowHierarchiesUsage count="2">
    <rowHierarchyUsage hierarchyUsage="25"/>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u (2)!$A$1:$Z$261">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0E39D7E-75DA-4051-A20C-A2F9523A50AA}" name="PivotTable2" cacheId="38"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multipleFieldFilters="0" chartFormat="1">
  <location ref="A3:B5" firstHeaderRow="1" firstDataRow="1" firstDataCol="1"/>
  <pivotFields count="3">
    <pivotField axis="axisRow" compact="0" allDrilled="1" outline="0" subtotalTop="0" showAll="0" dataSourceSort="1" defaultSubtotal="0" defaultAttributeDrillState="1">
      <items count="1">
        <item s="1" x="0"/>
      </items>
    </pivotField>
    <pivotField compact="0" allDrilled="1" outline="0" subtotalTop="0" showAll="0" measureFilter="1" defaultSubtotal="0" defaultAttributeDrillState="1">
      <items count="8">
        <item x="0"/>
        <item x="1"/>
        <item x="2"/>
        <item x="3"/>
        <item x="4"/>
        <item x="5"/>
        <item x="6"/>
        <item x="7"/>
      </items>
    </pivotField>
    <pivotField dataField="1" compact="0" outline="0" subtotalTop="0" showAll="0" defaultSubtotal="0"/>
  </pivotFields>
  <rowFields count="1">
    <field x="0"/>
  </rowFields>
  <rowItems count="2">
    <i>
      <x/>
    </i>
    <i t="grand">
      <x/>
    </i>
  </rowItems>
  <colItems count="1">
    <i/>
  </colItems>
  <dataFields count="1">
    <dataField name="Count of Category" fld="2" subtotal="count" baseField="0" baseItem="0"/>
  </dataFields>
  <pivotHierarchies count="8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Cholesterol (% Daily Value)"/>
    <pivotHierarchy dragToData="1"/>
    <pivotHierarchy dragToData="1" caption="Average of Total Fat (% Daily Val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valueLessThanOrEqual" id="6" iMeasureHier="53">
      <autoFilter ref="A1">
        <filterColumn colId="0">
          <customFilters>
            <customFilter operator="lessThanOrEqual" val="500"/>
          </customFilters>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u!$A$1:$X$26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92CD90A-021B-44C5-AD4C-9BCC5785EFC5}" sourceName="[Range].[Category]">
  <pivotTables>
    <pivotTable tabId="7" name="PivotTable2"/>
  </pivotTables>
  <data>
    <olap pivotCacheId="1204184758">
      <levels count="2">
        <level uniqueName="[Range].[Category].[(All)]" sourceCaption="(All)" count="0"/>
        <level uniqueName="[Range].[Category].[Category]" sourceCaption="Category" count="9">
          <ranges>
            <range startItem="0">
              <i n="[Range].[Category].&amp;[Beef &amp; Pork]" c="Beef &amp; Pork"/>
              <i n="[Range].[Category].&amp;[Beverages]" c="Beverages"/>
              <i n="[Range].[Category].&amp;[Breakfast]" c="Breakfast"/>
              <i n="[Range].[Category].&amp;[Chicken &amp; Fish]" c="Chicken &amp; Fish"/>
              <i n="[Range].[Category].&amp;[Coffee &amp; Tea]" c="Coffee &amp; Tea"/>
              <i n="[Range].[Category].&amp;[Desserts]" c="Desserts"/>
              <i n="[Range].[Category].&amp;[Salads]" c="Salads"/>
              <i n="[Range].[Category].&amp;[Smoothies &amp; Shakes]" c="Smoothies &amp; Shakes"/>
              <i n="[Range].[Category].&amp;[Snacks &amp; Sides]" c="Snacks &amp; Sides"/>
            </range>
          </ranges>
        </level>
      </levels>
      <selections count="1">
        <selection n="[Range].[Category].&amp;[Desserts]"/>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098DD6A7-991E-435C-85A7-395FADDD408D}" sourceName="[Range 1].[Category]">
  <pivotTables>
    <pivotTable tabId="11" name="PivotTable3"/>
    <pivotTable tabId="15" name="PivotTable4"/>
  </pivotTables>
  <data>
    <olap pivotCacheId="1399047766">
      <levels count="2">
        <level uniqueName="[Range 1].[Category].[(All)]" sourceCaption="(All)" count="0"/>
        <level uniqueName="[Range 1].[Category].[Category]" sourceCaption="Category" count="9">
          <ranges>
            <range startItem="0">
              <i n="[Range 1].[Category].&amp;[Beef_Pork]" c="Beef_Pork"/>
              <i n="[Range 1].[Category].&amp;[Beverages]" c="Beverages"/>
              <i n="[Range 1].[Category].&amp;[Breakfast]" c="Breakfast"/>
              <i n="[Range 1].[Category].&amp;[Chicken_Fish]" c="Chicken_Fish"/>
              <i n="[Range 1].[Category].&amp;[Coffee_Tea]" c="Coffee_Tea"/>
              <i n="[Range 1].[Category].&amp;[Desserts]" c="Desserts"/>
              <i n="[Range 1].[Category].&amp;[Salads]" c="Salads"/>
              <i n="[Range 1].[Category].&amp;[Smoothies_Shakes]" c="Smoothies_Shakes"/>
              <i n="[Range 1].[Category].&amp;[Snacks_Sides]" c="Snacks_Sides"/>
            </range>
          </ranges>
        </level>
      </levels>
      <selections count="1">
        <selection n="[Range 1].[Category].&amp;[Breakfast]"/>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_Slicer" xr10:uid="{959886D1-B715-4553-9E42-D05080474FE0}" cache="Slicer_Category1" caption="Category" level="1" style="SlicerStyleLight2 2 2 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FD9826B3-9C0B-48CC-AFA2-01E1A1FF7323}" cache="Slicer_Category1" caption="Category" level="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2" xr10:uid="{6D802242-F754-45A0-B5DB-0FEF69B4D9A6}" cache="Slicer_Category1" caption="Category1" level="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D8AAB2F3-43A7-41C8-BA02-93774C851298}" cache="Slicer_Category" caption="Category" level="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8BE6649-7550-48F6-A1FC-D08A85F5E938}" name="Table1" displayName="Table1" ref="A1:Z261" totalsRowShown="0">
  <autoFilter ref="A1:Z261" xr:uid="{D8BE6649-7550-48F6-A1FC-D08A85F5E938}"/>
  <tableColumns count="26">
    <tableColumn id="1" xr3:uid="{6125EDD4-AC50-42B4-8735-3EBBACDF51D3}" name="Category"/>
    <tableColumn id="2" xr3:uid="{53CF2EA1-5494-4FCC-A4E2-9A97565EC8C4}" name="Item"/>
    <tableColumn id="3" xr3:uid="{3603EA6C-DF07-459B-A551-994722A34EC7}" name="Serving Size"/>
    <tableColumn id="4" xr3:uid="{2CB33EBA-5634-43DA-B90F-91DC9783AFC7}" name="Calories"/>
    <tableColumn id="5" xr3:uid="{5105A4E2-21E6-43D9-98C5-42B4144285E4}" name="Calories from Fat"/>
    <tableColumn id="6" xr3:uid="{A4CF3017-33A7-498F-B133-6B71DBF9BF93}" name="FatCaloriesPercent" dataDxfId="0" dataCellStyle="Percent">
      <calculatedColumnFormula>IFERROR(E2/D2,0)</calculatedColumnFormula>
    </tableColumn>
    <tableColumn id="7" xr3:uid="{E06C390C-E3EB-4240-AD58-992C70549BF2}" name="Total Fat"/>
    <tableColumn id="8" xr3:uid="{926BE5C1-6079-4138-B269-8313EDA59A5C}" name="Total Fat (% Daily Value)"/>
    <tableColumn id="9" xr3:uid="{9B93F773-539E-4B97-AC7F-73D88F70C191}" name="Saturated Fat"/>
    <tableColumn id="10" xr3:uid="{708C8BA6-66CB-44F4-BD39-2BB61BBD49D3}" name="Saturated Fat (% Daily Value)"/>
    <tableColumn id="11" xr3:uid="{4485C240-FF56-433B-B340-24C7C4378C89}" name="Trans Fat"/>
    <tableColumn id="12" xr3:uid="{3EC9D995-3E80-4ACB-B0BA-FF4DCE6DE875}" name="Cholesterol"/>
    <tableColumn id="13" xr3:uid="{7A689786-B031-421F-8B5E-5BAC66EC3D52}" name="Cholesterol (% Daily Value)"/>
    <tableColumn id="14" xr3:uid="{C089F485-999F-4FE2-A411-94B82FD34A56}" name="Sodium"/>
    <tableColumn id="15" xr3:uid="{92D683C6-1285-49D8-9631-5CCD56725726}" name="Sodium (% Daily Value)"/>
    <tableColumn id="16" xr3:uid="{4887E88B-596C-4020-9BDA-2DD66F13E2D0}" name="Carbohydrates"/>
    <tableColumn id="17" xr3:uid="{EBDB31A3-8D04-454D-82CF-61FE4BA68029}" name="Carbohydrates (% Daily Value)"/>
    <tableColumn id="18" xr3:uid="{1031162E-062E-40BE-88B9-8569F610A230}" name="Dietary Fiber"/>
    <tableColumn id="19" xr3:uid="{585C616C-BA48-4B01-B538-12481FDE71F2}" name="Dietary Fiber (% Daily Value)"/>
    <tableColumn id="20" xr3:uid="{46CD2563-18E1-46F3-83D1-768F27B86348}" name="Sugars"/>
    <tableColumn id="21" xr3:uid="{D3D95E7D-4583-4401-89B5-624850915874}" name="Protein"/>
    <tableColumn id="22" xr3:uid="{045C7F45-E549-44EF-9E07-D045C0DC14AB}" name="Vitamin A (% Daily Value)"/>
    <tableColumn id="23" xr3:uid="{ABBB9278-BA22-4B7F-8316-AA83AFC99994}" name="Vitamin C (% Daily Value)"/>
    <tableColumn id="24" xr3:uid="{8260C50D-22FA-40D2-9894-9619E8FCED59}" name="Calcium (% Daily Value)"/>
    <tableColumn id="25" xr3:uid="{A3A6FA54-885C-4B0E-88B5-4AB10EE0106D}" name="Iron (% Daily Value)"/>
    <tableColumn id="26" xr3:uid="{ACCFE1EB-4FFA-41CC-BFE0-58AB7D072F86}" name="HighNutrients">
      <calculatedColumnFormula array="1">_xlfn.IFS(MAX(V2:Y2)=V2,"Vitamin A",MAX(V2:Y2)=W2,"Vitamin C",MAX(V2:Y2)=X2,"Calcium",MAX(V2:Y2)=Y2,"Iron")</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70EAABD-D517-4C1B-882B-9BDA11B772EC}" name="Table6" displayName="Table6" ref="A2:A11" totalsRowShown="0" headerRowDxfId="21">
  <autoFilter ref="A2:A11" xr:uid="{170EAABD-D517-4C1B-882B-9BDA11B772EC}"/>
  <tableColumns count="1">
    <tableColumn id="1" xr3:uid="{9DE2F40F-C63F-4CD8-8032-EAE8426D5AF0}" name="Category"/>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E4B602-69FE-4523-A863-56D2E89D5296}" name="Table7" displayName="Table7" ref="B2:B29" totalsRowShown="0">
  <autoFilter ref="B2:B29" xr:uid="{73E4B602-69FE-4523-A863-56D2E89D5296}"/>
  <tableColumns count="1">
    <tableColumn id="1" xr3:uid="{55699A58-4A4C-4A12-B2F4-314201191A47}" name="Chicken_Fish"/>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D90E78-7FDD-42FB-BA0D-C12C49B1EC96}" name="Table8" displayName="Table8" ref="C2:C44" totalsRowShown="0">
  <autoFilter ref="C2:C44" xr:uid="{E7D90E78-7FDD-42FB-BA0D-C12C49B1EC96}"/>
  <tableColumns count="1">
    <tableColumn id="1" xr3:uid="{39A85E4D-2713-4562-B5A5-D3BAE733BD32}" name="Breakfast"/>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87FBBF1-A0E6-4B50-B4C3-506B82F4FD5A}" name="Table9" displayName="Table9" ref="D2:D30" totalsRowShown="0">
  <autoFilter ref="D2:D30" xr:uid="{A87FBBF1-A0E6-4B50-B4C3-506B82F4FD5A}"/>
  <tableColumns count="1">
    <tableColumn id="1" xr3:uid="{5B4F779E-C035-443A-B0CC-2BE93E507960}" name="Smoothies_Shakes"/>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BFFDD18-5396-4D9B-B27A-8DFC7CE090CC}" name="Table10" displayName="Table10" ref="E2:E97" totalsRowShown="0">
  <autoFilter ref="E2:E97" xr:uid="{8BFFDD18-5396-4D9B-B27A-8DFC7CE090CC}"/>
  <tableColumns count="1">
    <tableColumn id="1" xr3:uid="{A2E050A0-32FD-40D3-96C1-101FFAAAB474}" name="Coffee_Tea"/>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9B2B9D7-F8E8-419E-B5BE-C660953914F7}" name="Table11" displayName="Table11" ref="F2:F17" totalsRowShown="0">
  <autoFilter ref="F2:F17" xr:uid="{19B2B9D7-F8E8-419E-B5BE-C660953914F7}"/>
  <tableColumns count="1">
    <tableColumn id="1" xr3:uid="{35ABD057-9458-4248-BEB2-79DFF6B1A0D0}" name="Beef_Pork"/>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505AF98-E514-40E8-882C-9884736F65CB}" name="Table12" displayName="Table12" ref="G2:G15" totalsRowShown="0">
  <autoFilter ref="G2:G15" xr:uid="{2505AF98-E514-40E8-882C-9884736F65CB}"/>
  <tableColumns count="1">
    <tableColumn id="1" xr3:uid="{183CFD8A-E040-42DC-AB72-7C6EEA3F3AF7}" name="Snacks_Sides"/>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F4B4CF9-45B0-432A-B62B-BAFC3F08A89C}" name="Table13" displayName="Table13" ref="H2:H8" totalsRowShown="0">
  <autoFilter ref="H2:H8" xr:uid="{3F4B4CF9-45B0-432A-B62B-BAFC3F08A89C}"/>
  <tableColumns count="1">
    <tableColumn id="1" xr3:uid="{C6D9BB1E-D96E-4D4E-B172-00A013C5A88E}" name="Salads"/>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A750EF3-5B77-4139-ABC3-0B593A6E0401}" name="Table14" displayName="Table14" ref="I2:I9" totalsRowShown="0">
  <autoFilter ref="I2:I9" xr:uid="{AA750EF3-5B77-4139-ABC3-0B593A6E0401}"/>
  <tableColumns count="1">
    <tableColumn id="1" xr3:uid="{7301F70A-30D9-4EAB-AD83-FBB221F57D77}" name="Desserts"/>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3DD129F-52BB-40B4-AE3A-76DA3E31B156}" name="Table15" displayName="Table15" ref="J2:J29" totalsRowShown="0">
  <autoFilter ref="J2:J29" xr:uid="{13DD129F-52BB-40B4-AE3A-76DA3E31B156}"/>
  <tableColumns count="1">
    <tableColumn id="1" xr3:uid="{3FC5BA18-6A71-4B7F-9827-F7BA3FFF5A23}" name="Beverages"/>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164133-0BE2-4FEF-BCFD-39FCA85A69B8}" name="Carbs" displayName="Carbs" ref="E3:G263" totalsRowShown="0">
  <autoFilter ref="E3:G263" xr:uid="{93164133-0BE2-4FEF-BCFD-39FCA85A69B8}"/>
  <tableColumns count="3">
    <tableColumn id="1" xr3:uid="{520E6E8C-17EB-46DC-8769-AB3C3069AAFD}" name="Item"/>
    <tableColumn id="2" xr3:uid="{111FB0D6-1086-4DBE-BA5F-461E4A97D02A}" name="Category"/>
    <tableColumn id="3" xr3:uid="{6AA52183-122E-4990-99B1-28240271F9AC}" name="Carbohydrates (gm)"/>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61"/>
  <sheetViews>
    <sheetView topLeftCell="D1" workbookViewId="0">
      <selection activeCell="Q7" sqref="Q7"/>
    </sheetView>
  </sheetViews>
  <sheetFormatPr defaultRowHeight="14.4" x14ac:dyDescent="0.3"/>
  <cols>
    <col min="1" max="1" width="17.5546875" bestFit="1" customWidth="1"/>
    <col min="2" max="2" width="51.5546875" bestFit="1" customWidth="1"/>
    <col min="3" max="3" width="14.88671875" bestFit="1" customWidth="1"/>
    <col min="4" max="4" width="7.5546875" bestFit="1" customWidth="1"/>
    <col min="5" max="5" width="17.33203125" bestFit="1" customWidth="1"/>
    <col min="6" max="6" width="8.21875" bestFit="1" customWidth="1"/>
    <col min="7" max="7" width="20.88671875" bestFit="1" customWidth="1"/>
    <col min="8" max="8" width="11.88671875" bestFit="1" customWidth="1"/>
    <col min="9" max="9" width="24.6640625" bestFit="1" customWidth="1"/>
    <col min="10" max="10" width="8.44140625" bestFit="1" customWidth="1"/>
    <col min="11" max="11" width="10.33203125" bestFit="1" customWidth="1"/>
    <col min="12" max="12" width="23.109375" bestFit="1" customWidth="1"/>
    <col min="13" max="13" width="7" bestFit="1" customWidth="1"/>
    <col min="14" max="14" width="19.6640625" bestFit="1" customWidth="1"/>
    <col min="15" max="15" width="12.88671875" bestFit="1" customWidth="1"/>
    <col min="16" max="16" width="25.77734375" bestFit="1" customWidth="1"/>
    <col min="17" max="17" width="11.33203125" bestFit="1" customWidth="1"/>
    <col min="18" max="18" width="24.109375" bestFit="1" customWidth="1"/>
    <col min="19" max="19" width="8.44140625" bestFit="1" customWidth="1"/>
    <col min="20" max="20" width="9.109375" bestFit="1" customWidth="1"/>
    <col min="21" max="22" width="21.5546875" bestFit="1" customWidth="1"/>
    <col min="23" max="23" width="20.109375" bestFit="1" customWidth="1"/>
    <col min="24" max="24" width="16.88671875" bestFit="1" customWidth="1"/>
  </cols>
  <sheetData>
    <row r="1" spans="1:2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row>
    <row r="2" spans="1:24" x14ac:dyDescent="0.3">
      <c r="A2" t="s">
        <v>24</v>
      </c>
      <c r="B2" t="s">
        <v>25</v>
      </c>
      <c r="C2" t="s">
        <v>26</v>
      </c>
      <c r="D2">
        <v>300</v>
      </c>
      <c r="E2">
        <v>120</v>
      </c>
      <c r="F2">
        <v>13</v>
      </c>
      <c r="G2">
        <v>20</v>
      </c>
      <c r="H2">
        <v>5</v>
      </c>
      <c r="I2">
        <v>25</v>
      </c>
      <c r="J2">
        <v>0</v>
      </c>
      <c r="K2">
        <v>260</v>
      </c>
      <c r="L2">
        <v>87</v>
      </c>
      <c r="M2">
        <v>750</v>
      </c>
      <c r="N2">
        <v>31</v>
      </c>
      <c r="O2">
        <v>31</v>
      </c>
      <c r="P2">
        <v>10</v>
      </c>
      <c r="Q2">
        <v>4</v>
      </c>
      <c r="R2">
        <v>17</v>
      </c>
      <c r="S2">
        <v>3</v>
      </c>
      <c r="T2">
        <v>17</v>
      </c>
      <c r="U2">
        <v>10</v>
      </c>
      <c r="V2">
        <v>0</v>
      </c>
      <c r="W2">
        <v>25</v>
      </c>
      <c r="X2">
        <v>15</v>
      </c>
    </row>
    <row r="3" spans="1:24" x14ac:dyDescent="0.3">
      <c r="A3" t="s">
        <v>24</v>
      </c>
      <c r="B3" t="s">
        <v>27</v>
      </c>
      <c r="C3" t="s">
        <v>28</v>
      </c>
      <c r="D3">
        <v>250</v>
      </c>
      <c r="E3">
        <v>70</v>
      </c>
      <c r="F3">
        <v>8</v>
      </c>
      <c r="G3">
        <v>12</v>
      </c>
      <c r="H3">
        <v>3</v>
      </c>
      <c r="I3">
        <v>15</v>
      </c>
      <c r="J3">
        <v>0</v>
      </c>
      <c r="K3">
        <v>25</v>
      </c>
      <c r="L3">
        <v>8</v>
      </c>
      <c r="M3">
        <v>770</v>
      </c>
      <c r="N3">
        <v>32</v>
      </c>
      <c r="O3">
        <v>30</v>
      </c>
      <c r="P3">
        <v>10</v>
      </c>
      <c r="Q3">
        <v>4</v>
      </c>
      <c r="R3">
        <v>17</v>
      </c>
      <c r="S3">
        <v>3</v>
      </c>
      <c r="T3">
        <v>18</v>
      </c>
      <c r="U3">
        <v>6</v>
      </c>
      <c r="V3">
        <v>0</v>
      </c>
      <c r="W3">
        <v>25</v>
      </c>
      <c r="X3">
        <v>8</v>
      </c>
    </row>
    <row r="4" spans="1:24" x14ac:dyDescent="0.3">
      <c r="A4" t="s">
        <v>24</v>
      </c>
      <c r="B4" t="s">
        <v>29</v>
      </c>
      <c r="C4" t="s">
        <v>30</v>
      </c>
      <c r="D4">
        <v>370</v>
      </c>
      <c r="E4">
        <v>200</v>
      </c>
      <c r="F4">
        <v>23</v>
      </c>
      <c r="G4">
        <v>35</v>
      </c>
      <c r="H4">
        <v>8</v>
      </c>
      <c r="I4">
        <v>42</v>
      </c>
      <c r="J4">
        <v>0</v>
      </c>
      <c r="K4">
        <v>45</v>
      </c>
      <c r="L4">
        <v>15</v>
      </c>
      <c r="M4">
        <v>780</v>
      </c>
      <c r="N4">
        <v>33</v>
      </c>
      <c r="O4">
        <v>29</v>
      </c>
      <c r="P4">
        <v>10</v>
      </c>
      <c r="Q4">
        <v>4</v>
      </c>
      <c r="R4">
        <v>17</v>
      </c>
      <c r="S4">
        <v>2</v>
      </c>
      <c r="T4">
        <v>14</v>
      </c>
      <c r="U4">
        <v>8</v>
      </c>
      <c r="V4">
        <v>0</v>
      </c>
      <c r="W4">
        <v>25</v>
      </c>
      <c r="X4">
        <v>10</v>
      </c>
    </row>
    <row r="5" spans="1:24" x14ac:dyDescent="0.3">
      <c r="A5" t="s">
        <v>24</v>
      </c>
      <c r="B5" t="s">
        <v>31</v>
      </c>
      <c r="C5" t="s">
        <v>32</v>
      </c>
      <c r="D5">
        <v>450</v>
      </c>
      <c r="E5">
        <v>250</v>
      </c>
      <c r="F5">
        <v>28</v>
      </c>
      <c r="G5">
        <v>43</v>
      </c>
      <c r="H5">
        <v>10</v>
      </c>
      <c r="I5">
        <v>52</v>
      </c>
      <c r="J5">
        <v>0</v>
      </c>
      <c r="K5">
        <v>285</v>
      </c>
      <c r="L5">
        <v>95</v>
      </c>
      <c r="M5">
        <v>860</v>
      </c>
      <c r="N5">
        <v>36</v>
      </c>
      <c r="O5">
        <v>30</v>
      </c>
      <c r="P5">
        <v>10</v>
      </c>
      <c r="Q5">
        <v>4</v>
      </c>
      <c r="R5">
        <v>17</v>
      </c>
      <c r="S5">
        <v>2</v>
      </c>
      <c r="T5">
        <v>21</v>
      </c>
      <c r="U5">
        <v>15</v>
      </c>
      <c r="V5">
        <v>0</v>
      </c>
      <c r="W5">
        <v>30</v>
      </c>
      <c r="X5">
        <v>15</v>
      </c>
    </row>
    <row r="6" spans="1:24" x14ac:dyDescent="0.3">
      <c r="A6" t="s">
        <v>24</v>
      </c>
      <c r="B6" t="s">
        <v>33</v>
      </c>
      <c r="C6" t="s">
        <v>32</v>
      </c>
      <c r="D6">
        <v>400</v>
      </c>
      <c r="E6">
        <v>210</v>
      </c>
      <c r="F6">
        <v>23</v>
      </c>
      <c r="G6">
        <v>35</v>
      </c>
      <c r="H6">
        <v>8</v>
      </c>
      <c r="I6">
        <v>42</v>
      </c>
      <c r="J6">
        <v>0</v>
      </c>
      <c r="K6">
        <v>50</v>
      </c>
      <c r="L6">
        <v>16</v>
      </c>
      <c r="M6">
        <v>880</v>
      </c>
      <c r="N6">
        <v>37</v>
      </c>
      <c r="O6">
        <v>30</v>
      </c>
      <c r="P6">
        <v>10</v>
      </c>
      <c r="Q6">
        <v>4</v>
      </c>
      <c r="R6">
        <v>17</v>
      </c>
      <c r="S6">
        <v>2</v>
      </c>
      <c r="T6">
        <v>21</v>
      </c>
      <c r="U6">
        <v>6</v>
      </c>
      <c r="V6">
        <v>0</v>
      </c>
      <c r="W6">
        <v>25</v>
      </c>
      <c r="X6">
        <v>10</v>
      </c>
    </row>
    <row r="7" spans="1:24" x14ac:dyDescent="0.3">
      <c r="A7" t="s">
        <v>24</v>
      </c>
      <c r="B7" t="s">
        <v>34</v>
      </c>
      <c r="C7" t="s">
        <v>35</v>
      </c>
      <c r="D7">
        <v>430</v>
      </c>
      <c r="E7">
        <v>210</v>
      </c>
      <c r="F7">
        <v>23</v>
      </c>
      <c r="G7">
        <v>36</v>
      </c>
      <c r="H7">
        <v>9</v>
      </c>
      <c r="I7">
        <v>46</v>
      </c>
      <c r="J7">
        <v>1</v>
      </c>
      <c r="K7">
        <v>300</v>
      </c>
      <c r="L7">
        <v>100</v>
      </c>
      <c r="M7">
        <v>960</v>
      </c>
      <c r="N7">
        <v>40</v>
      </c>
      <c r="O7">
        <v>31</v>
      </c>
      <c r="P7">
        <v>10</v>
      </c>
      <c r="Q7">
        <v>4</v>
      </c>
      <c r="R7">
        <v>18</v>
      </c>
      <c r="S7">
        <v>3</v>
      </c>
      <c r="T7">
        <v>26</v>
      </c>
      <c r="U7">
        <v>15</v>
      </c>
      <c r="V7">
        <v>2</v>
      </c>
      <c r="W7">
        <v>30</v>
      </c>
      <c r="X7">
        <v>20</v>
      </c>
    </row>
    <row r="8" spans="1:24" x14ac:dyDescent="0.3">
      <c r="A8" t="s">
        <v>24</v>
      </c>
      <c r="B8" t="s">
        <v>36</v>
      </c>
      <c r="C8" t="s">
        <v>37</v>
      </c>
      <c r="D8">
        <v>460</v>
      </c>
      <c r="E8">
        <v>230</v>
      </c>
      <c r="F8">
        <v>26</v>
      </c>
      <c r="G8">
        <v>40</v>
      </c>
      <c r="H8">
        <v>13</v>
      </c>
      <c r="I8">
        <v>65</v>
      </c>
      <c r="J8">
        <v>0</v>
      </c>
      <c r="K8">
        <v>250</v>
      </c>
      <c r="L8">
        <v>83</v>
      </c>
      <c r="M8">
        <v>1300</v>
      </c>
      <c r="N8">
        <v>54</v>
      </c>
      <c r="O8">
        <v>38</v>
      </c>
      <c r="P8">
        <v>13</v>
      </c>
      <c r="Q8">
        <v>2</v>
      </c>
      <c r="R8">
        <v>7</v>
      </c>
      <c r="S8">
        <v>3</v>
      </c>
      <c r="T8">
        <v>19</v>
      </c>
      <c r="U8">
        <v>10</v>
      </c>
      <c r="V8">
        <v>8</v>
      </c>
      <c r="W8">
        <v>15</v>
      </c>
      <c r="X8">
        <v>15</v>
      </c>
    </row>
    <row r="9" spans="1:24" x14ac:dyDescent="0.3">
      <c r="A9" t="s">
        <v>24</v>
      </c>
      <c r="B9" t="s">
        <v>38</v>
      </c>
      <c r="C9" t="s">
        <v>39</v>
      </c>
      <c r="D9">
        <v>520</v>
      </c>
      <c r="E9">
        <v>270</v>
      </c>
      <c r="F9">
        <v>30</v>
      </c>
      <c r="G9">
        <v>47</v>
      </c>
      <c r="H9">
        <v>14</v>
      </c>
      <c r="I9">
        <v>68</v>
      </c>
      <c r="J9">
        <v>0</v>
      </c>
      <c r="K9">
        <v>250</v>
      </c>
      <c r="L9">
        <v>83</v>
      </c>
      <c r="M9">
        <v>1410</v>
      </c>
      <c r="N9">
        <v>59</v>
      </c>
      <c r="O9">
        <v>43</v>
      </c>
      <c r="P9">
        <v>14</v>
      </c>
      <c r="Q9">
        <v>3</v>
      </c>
      <c r="R9">
        <v>12</v>
      </c>
      <c r="S9">
        <v>4</v>
      </c>
      <c r="T9">
        <v>19</v>
      </c>
      <c r="U9">
        <v>15</v>
      </c>
      <c r="V9">
        <v>8</v>
      </c>
      <c r="W9">
        <v>20</v>
      </c>
      <c r="X9">
        <v>20</v>
      </c>
    </row>
    <row r="10" spans="1:24" x14ac:dyDescent="0.3">
      <c r="A10" t="s">
        <v>24</v>
      </c>
      <c r="B10" t="s">
        <v>40</v>
      </c>
      <c r="C10" t="s">
        <v>41</v>
      </c>
      <c r="D10">
        <v>410</v>
      </c>
      <c r="E10">
        <v>180</v>
      </c>
      <c r="F10">
        <v>20</v>
      </c>
      <c r="G10">
        <v>32</v>
      </c>
      <c r="H10">
        <v>11</v>
      </c>
      <c r="I10">
        <v>56</v>
      </c>
      <c r="J10">
        <v>0</v>
      </c>
      <c r="K10">
        <v>35</v>
      </c>
      <c r="L10">
        <v>11</v>
      </c>
      <c r="M10">
        <v>1300</v>
      </c>
      <c r="N10">
        <v>54</v>
      </c>
      <c r="O10">
        <v>36</v>
      </c>
      <c r="P10">
        <v>12</v>
      </c>
      <c r="Q10">
        <v>2</v>
      </c>
      <c r="R10">
        <v>7</v>
      </c>
      <c r="S10">
        <v>3</v>
      </c>
      <c r="T10">
        <v>20</v>
      </c>
      <c r="U10">
        <v>2</v>
      </c>
      <c r="V10">
        <v>8</v>
      </c>
      <c r="W10">
        <v>15</v>
      </c>
      <c r="X10">
        <v>10</v>
      </c>
    </row>
    <row r="11" spans="1:24" x14ac:dyDescent="0.3">
      <c r="A11" t="s">
        <v>24</v>
      </c>
      <c r="B11" t="s">
        <v>42</v>
      </c>
      <c r="C11" t="s">
        <v>43</v>
      </c>
      <c r="D11">
        <v>470</v>
      </c>
      <c r="E11">
        <v>220</v>
      </c>
      <c r="F11">
        <v>25</v>
      </c>
      <c r="G11">
        <v>38</v>
      </c>
      <c r="H11">
        <v>12</v>
      </c>
      <c r="I11">
        <v>59</v>
      </c>
      <c r="J11">
        <v>0</v>
      </c>
      <c r="K11">
        <v>35</v>
      </c>
      <c r="L11">
        <v>11</v>
      </c>
      <c r="M11">
        <v>1420</v>
      </c>
      <c r="N11">
        <v>59</v>
      </c>
      <c r="O11">
        <v>42</v>
      </c>
      <c r="P11">
        <v>14</v>
      </c>
      <c r="Q11">
        <v>3</v>
      </c>
      <c r="R11">
        <v>12</v>
      </c>
      <c r="S11">
        <v>4</v>
      </c>
      <c r="T11">
        <v>20</v>
      </c>
      <c r="U11">
        <v>6</v>
      </c>
      <c r="V11">
        <v>8</v>
      </c>
      <c r="W11">
        <v>15</v>
      </c>
      <c r="X11">
        <v>15</v>
      </c>
    </row>
    <row r="12" spans="1:24" x14ac:dyDescent="0.3">
      <c r="A12" t="s">
        <v>24</v>
      </c>
      <c r="B12" t="s">
        <v>44</v>
      </c>
      <c r="C12" t="s">
        <v>45</v>
      </c>
      <c r="D12">
        <v>430</v>
      </c>
      <c r="E12">
        <v>240</v>
      </c>
      <c r="F12">
        <v>27</v>
      </c>
      <c r="G12">
        <v>42</v>
      </c>
      <c r="H12">
        <v>12</v>
      </c>
      <c r="I12">
        <v>62</v>
      </c>
      <c r="J12">
        <v>0</v>
      </c>
      <c r="K12">
        <v>30</v>
      </c>
      <c r="L12">
        <v>10</v>
      </c>
      <c r="M12">
        <v>1080</v>
      </c>
      <c r="N12">
        <v>45</v>
      </c>
      <c r="O12">
        <v>34</v>
      </c>
      <c r="P12">
        <v>11</v>
      </c>
      <c r="Q12">
        <v>2</v>
      </c>
      <c r="R12">
        <v>6</v>
      </c>
      <c r="S12">
        <v>2</v>
      </c>
      <c r="T12">
        <v>11</v>
      </c>
      <c r="U12">
        <v>0</v>
      </c>
      <c r="V12">
        <v>0</v>
      </c>
      <c r="W12">
        <v>6</v>
      </c>
      <c r="X12">
        <v>15</v>
      </c>
    </row>
    <row r="13" spans="1:24" x14ac:dyDescent="0.3">
      <c r="A13" t="s">
        <v>24</v>
      </c>
      <c r="B13" t="s">
        <v>46</v>
      </c>
      <c r="C13" t="s">
        <v>47</v>
      </c>
      <c r="D13">
        <v>480</v>
      </c>
      <c r="E13">
        <v>280</v>
      </c>
      <c r="F13">
        <v>31</v>
      </c>
      <c r="G13">
        <v>48</v>
      </c>
      <c r="H13">
        <v>13</v>
      </c>
      <c r="I13">
        <v>65</v>
      </c>
      <c r="J13">
        <v>0</v>
      </c>
      <c r="K13">
        <v>30</v>
      </c>
      <c r="L13">
        <v>10</v>
      </c>
      <c r="M13">
        <v>1190</v>
      </c>
      <c r="N13">
        <v>50</v>
      </c>
      <c r="O13">
        <v>39</v>
      </c>
      <c r="P13">
        <v>13</v>
      </c>
      <c r="Q13">
        <v>3</v>
      </c>
      <c r="R13">
        <v>11</v>
      </c>
      <c r="S13">
        <v>3</v>
      </c>
      <c r="T13">
        <v>11</v>
      </c>
      <c r="U13">
        <v>4</v>
      </c>
      <c r="V13">
        <v>0</v>
      </c>
      <c r="W13">
        <v>8</v>
      </c>
      <c r="X13">
        <v>15</v>
      </c>
    </row>
    <row r="14" spans="1:24" x14ac:dyDescent="0.3">
      <c r="A14" t="s">
        <v>24</v>
      </c>
      <c r="B14" t="s">
        <v>48</v>
      </c>
      <c r="C14" t="s">
        <v>49</v>
      </c>
      <c r="D14">
        <v>510</v>
      </c>
      <c r="E14">
        <v>290</v>
      </c>
      <c r="F14">
        <v>33</v>
      </c>
      <c r="G14">
        <v>50</v>
      </c>
      <c r="H14">
        <v>14</v>
      </c>
      <c r="I14">
        <v>71</v>
      </c>
      <c r="J14">
        <v>0</v>
      </c>
      <c r="K14">
        <v>250</v>
      </c>
      <c r="L14">
        <v>83</v>
      </c>
      <c r="M14">
        <v>1170</v>
      </c>
      <c r="N14">
        <v>49</v>
      </c>
      <c r="O14">
        <v>36</v>
      </c>
      <c r="P14">
        <v>12</v>
      </c>
      <c r="Q14">
        <v>2</v>
      </c>
      <c r="R14">
        <v>6</v>
      </c>
      <c r="S14">
        <v>2</v>
      </c>
      <c r="T14">
        <v>18</v>
      </c>
      <c r="U14">
        <v>6</v>
      </c>
      <c r="V14">
        <v>0</v>
      </c>
      <c r="W14">
        <v>10</v>
      </c>
      <c r="X14">
        <v>20</v>
      </c>
    </row>
    <row r="15" spans="1:24" x14ac:dyDescent="0.3">
      <c r="A15" t="s">
        <v>24</v>
      </c>
      <c r="B15" t="s">
        <v>50</v>
      </c>
      <c r="C15" t="s">
        <v>51</v>
      </c>
      <c r="D15">
        <v>570</v>
      </c>
      <c r="E15">
        <v>330</v>
      </c>
      <c r="F15">
        <v>37</v>
      </c>
      <c r="G15">
        <v>57</v>
      </c>
      <c r="H15">
        <v>15</v>
      </c>
      <c r="I15">
        <v>74</v>
      </c>
      <c r="J15">
        <v>0</v>
      </c>
      <c r="K15">
        <v>250</v>
      </c>
      <c r="L15">
        <v>83</v>
      </c>
      <c r="M15">
        <v>1280</v>
      </c>
      <c r="N15">
        <v>53</v>
      </c>
      <c r="O15">
        <v>42</v>
      </c>
      <c r="P15">
        <v>14</v>
      </c>
      <c r="Q15">
        <v>3</v>
      </c>
      <c r="R15">
        <v>11</v>
      </c>
      <c r="S15">
        <v>3</v>
      </c>
      <c r="T15">
        <v>18</v>
      </c>
      <c r="U15">
        <v>10</v>
      </c>
      <c r="V15">
        <v>0</v>
      </c>
      <c r="W15">
        <v>10</v>
      </c>
      <c r="X15">
        <v>20</v>
      </c>
    </row>
    <row r="16" spans="1:24" x14ac:dyDescent="0.3">
      <c r="A16" t="s">
        <v>24</v>
      </c>
      <c r="B16" t="s">
        <v>52</v>
      </c>
      <c r="C16" t="s">
        <v>43</v>
      </c>
      <c r="D16">
        <v>460</v>
      </c>
      <c r="E16">
        <v>250</v>
      </c>
      <c r="F16">
        <v>27</v>
      </c>
      <c r="G16">
        <v>42</v>
      </c>
      <c r="H16">
        <v>12</v>
      </c>
      <c r="I16">
        <v>62</v>
      </c>
      <c r="J16">
        <v>0</v>
      </c>
      <c r="K16">
        <v>35</v>
      </c>
      <c r="L16">
        <v>11</v>
      </c>
      <c r="M16">
        <v>1180</v>
      </c>
      <c r="N16">
        <v>49</v>
      </c>
      <c r="O16">
        <v>34</v>
      </c>
      <c r="P16">
        <v>11</v>
      </c>
      <c r="Q16">
        <v>2</v>
      </c>
      <c r="R16">
        <v>6</v>
      </c>
      <c r="S16">
        <v>3</v>
      </c>
      <c r="T16">
        <v>18</v>
      </c>
      <c r="U16">
        <v>0</v>
      </c>
      <c r="V16">
        <v>0</v>
      </c>
      <c r="W16">
        <v>8</v>
      </c>
      <c r="X16">
        <v>15</v>
      </c>
    </row>
    <row r="17" spans="1:24" x14ac:dyDescent="0.3">
      <c r="A17" t="s">
        <v>24</v>
      </c>
      <c r="B17" t="s">
        <v>53</v>
      </c>
      <c r="C17" t="s">
        <v>54</v>
      </c>
      <c r="D17">
        <v>520</v>
      </c>
      <c r="E17">
        <v>280</v>
      </c>
      <c r="F17">
        <v>32</v>
      </c>
      <c r="G17">
        <v>49</v>
      </c>
      <c r="H17">
        <v>13</v>
      </c>
      <c r="I17">
        <v>65</v>
      </c>
      <c r="J17">
        <v>0</v>
      </c>
      <c r="K17">
        <v>35</v>
      </c>
      <c r="L17">
        <v>11</v>
      </c>
      <c r="M17">
        <v>1290</v>
      </c>
      <c r="N17">
        <v>54</v>
      </c>
      <c r="O17">
        <v>40</v>
      </c>
      <c r="P17">
        <v>13</v>
      </c>
      <c r="Q17">
        <v>3</v>
      </c>
      <c r="R17">
        <v>11</v>
      </c>
      <c r="S17">
        <v>3</v>
      </c>
      <c r="T17">
        <v>18</v>
      </c>
      <c r="U17">
        <v>4</v>
      </c>
      <c r="V17">
        <v>0</v>
      </c>
      <c r="W17">
        <v>8</v>
      </c>
      <c r="X17">
        <v>15</v>
      </c>
    </row>
    <row r="18" spans="1:24" x14ac:dyDescent="0.3">
      <c r="A18" t="s">
        <v>24</v>
      </c>
      <c r="B18" t="s">
        <v>55</v>
      </c>
      <c r="C18" t="s">
        <v>56</v>
      </c>
      <c r="D18">
        <v>410</v>
      </c>
      <c r="E18">
        <v>180</v>
      </c>
      <c r="F18">
        <v>20</v>
      </c>
      <c r="G18">
        <v>31</v>
      </c>
      <c r="H18">
        <v>8</v>
      </c>
      <c r="I18">
        <v>41</v>
      </c>
      <c r="J18">
        <v>0</v>
      </c>
      <c r="K18">
        <v>30</v>
      </c>
      <c r="L18">
        <v>10</v>
      </c>
      <c r="M18">
        <v>1180</v>
      </c>
      <c r="N18">
        <v>49</v>
      </c>
      <c r="O18">
        <v>41</v>
      </c>
      <c r="P18">
        <v>14</v>
      </c>
      <c r="Q18">
        <v>2</v>
      </c>
      <c r="R18">
        <v>6</v>
      </c>
      <c r="S18">
        <v>3</v>
      </c>
      <c r="T18">
        <v>17</v>
      </c>
      <c r="U18">
        <v>0</v>
      </c>
      <c r="V18">
        <v>2</v>
      </c>
      <c r="W18">
        <v>6</v>
      </c>
      <c r="X18">
        <v>15</v>
      </c>
    </row>
    <row r="19" spans="1:24" x14ac:dyDescent="0.3">
      <c r="A19" t="s">
        <v>24</v>
      </c>
      <c r="B19" t="s">
        <v>57</v>
      </c>
      <c r="C19" t="s">
        <v>58</v>
      </c>
      <c r="D19">
        <v>470</v>
      </c>
      <c r="E19">
        <v>220</v>
      </c>
      <c r="F19">
        <v>24</v>
      </c>
      <c r="G19">
        <v>37</v>
      </c>
      <c r="H19">
        <v>9</v>
      </c>
      <c r="I19">
        <v>45</v>
      </c>
      <c r="J19">
        <v>0</v>
      </c>
      <c r="K19">
        <v>30</v>
      </c>
      <c r="L19">
        <v>10</v>
      </c>
      <c r="M19">
        <v>1290</v>
      </c>
      <c r="N19">
        <v>54</v>
      </c>
      <c r="O19">
        <v>46</v>
      </c>
      <c r="P19">
        <v>15</v>
      </c>
      <c r="Q19">
        <v>3</v>
      </c>
      <c r="R19">
        <v>11</v>
      </c>
      <c r="S19">
        <v>4</v>
      </c>
      <c r="T19">
        <v>17</v>
      </c>
      <c r="U19">
        <v>4</v>
      </c>
      <c r="V19">
        <v>2</v>
      </c>
      <c r="W19">
        <v>8</v>
      </c>
      <c r="X19">
        <v>15</v>
      </c>
    </row>
    <row r="20" spans="1:24" x14ac:dyDescent="0.3">
      <c r="A20" t="s">
        <v>24</v>
      </c>
      <c r="B20" t="s">
        <v>59</v>
      </c>
      <c r="C20" t="s">
        <v>60</v>
      </c>
      <c r="D20">
        <v>540</v>
      </c>
      <c r="E20">
        <v>290</v>
      </c>
      <c r="F20">
        <v>32</v>
      </c>
      <c r="G20">
        <v>49</v>
      </c>
      <c r="H20">
        <v>16</v>
      </c>
      <c r="I20">
        <v>78</v>
      </c>
      <c r="J20">
        <v>1</v>
      </c>
      <c r="K20">
        <v>280</v>
      </c>
      <c r="L20">
        <v>93</v>
      </c>
      <c r="M20">
        <v>1470</v>
      </c>
      <c r="N20">
        <v>61</v>
      </c>
      <c r="O20">
        <v>38</v>
      </c>
      <c r="P20">
        <v>13</v>
      </c>
      <c r="Q20">
        <v>2</v>
      </c>
      <c r="R20">
        <v>8</v>
      </c>
      <c r="S20">
        <v>3</v>
      </c>
      <c r="T20">
        <v>25</v>
      </c>
      <c r="U20">
        <v>10</v>
      </c>
      <c r="V20">
        <v>2</v>
      </c>
      <c r="W20">
        <v>20</v>
      </c>
      <c r="X20">
        <v>25</v>
      </c>
    </row>
    <row r="21" spans="1:24" x14ac:dyDescent="0.3">
      <c r="A21" t="s">
        <v>24</v>
      </c>
      <c r="B21" t="s">
        <v>61</v>
      </c>
      <c r="C21" t="s">
        <v>62</v>
      </c>
      <c r="D21">
        <v>460</v>
      </c>
      <c r="E21">
        <v>190</v>
      </c>
      <c r="F21">
        <v>21</v>
      </c>
      <c r="G21">
        <v>32</v>
      </c>
      <c r="H21">
        <v>9</v>
      </c>
      <c r="I21">
        <v>44</v>
      </c>
      <c r="J21">
        <v>0</v>
      </c>
      <c r="K21">
        <v>250</v>
      </c>
      <c r="L21">
        <v>84</v>
      </c>
      <c r="M21">
        <v>1250</v>
      </c>
      <c r="N21">
        <v>52</v>
      </c>
      <c r="O21">
        <v>48</v>
      </c>
      <c r="P21">
        <v>16</v>
      </c>
      <c r="Q21">
        <v>2</v>
      </c>
      <c r="R21">
        <v>9</v>
      </c>
      <c r="S21">
        <v>15</v>
      </c>
      <c r="T21">
        <v>19</v>
      </c>
      <c r="U21">
        <v>10</v>
      </c>
      <c r="V21">
        <v>10</v>
      </c>
      <c r="W21">
        <v>20</v>
      </c>
      <c r="X21">
        <v>15</v>
      </c>
    </row>
    <row r="22" spans="1:24" x14ac:dyDescent="0.3">
      <c r="A22" t="s">
        <v>24</v>
      </c>
      <c r="B22" t="s">
        <v>63</v>
      </c>
      <c r="C22" t="s">
        <v>64</v>
      </c>
      <c r="D22">
        <v>400</v>
      </c>
      <c r="E22">
        <v>140</v>
      </c>
      <c r="F22">
        <v>15</v>
      </c>
      <c r="G22">
        <v>24</v>
      </c>
      <c r="H22">
        <v>7</v>
      </c>
      <c r="I22">
        <v>34</v>
      </c>
      <c r="J22">
        <v>0</v>
      </c>
      <c r="K22">
        <v>35</v>
      </c>
      <c r="L22">
        <v>11</v>
      </c>
      <c r="M22">
        <v>1250</v>
      </c>
      <c r="N22">
        <v>52</v>
      </c>
      <c r="O22">
        <v>47</v>
      </c>
      <c r="P22">
        <v>16</v>
      </c>
      <c r="Q22">
        <v>2</v>
      </c>
      <c r="R22">
        <v>9</v>
      </c>
      <c r="S22">
        <v>16</v>
      </c>
      <c r="T22">
        <v>20</v>
      </c>
      <c r="U22">
        <v>2</v>
      </c>
      <c r="V22">
        <v>10</v>
      </c>
      <c r="W22">
        <v>15</v>
      </c>
      <c r="X22">
        <v>10</v>
      </c>
    </row>
    <row r="23" spans="1:24" x14ac:dyDescent="0.3">
      <c r="A23" t="s">
        <v>24</v>
      </c>
      <c r="B23" t="s">
        <v>65</v>
      </c>
      <c r="C23" t="s">
        <v>66</v>
      </c>
      <c r="D23">
        <v>420</v>
      </c>
      <c r="E23">
        <v>200</v>
      </c>
      <c r="F23">
        <v>22</v>
      </c>
      <c r="G23">
        <v>34</v>
      </c>
      <c r="H23">
        <v>8</v>
      </c>
      <c r="I23">
        <v>40</v>
      </c>
      <c r="J23">
        <v>0</v>
      </c>
      <c r="K23">
        <v>35</v>
      </c>
      <c r="L23">
        <v>11</v>
      </c>
      <c r="M23">
        <v>1030</v>
      </c>
      <c r="N23">
        <v>43</v>
      </c>
      <c r="O23">
        <v>44</v>
      </c>
      <c r="P23">
        <v>15</v>
      </c>
      <c r="Q23">
        <v>2</v>
      </c>
      <c r="R23">
        <v>8</v>
      </c>
      <c r="S23">
        <v>15</v>
      </c>
      <c r="T23">
        <v>11</v>
      </c>
      <c r="U23">
        <v>0</v>
      </c>
      <c r="V23">
        <v>0</v>
      </c>
      <c r="W23">
        <v>8</v>
      </c>
      <c r="X23">
        <v>10</v>
      </c>
    </row>
    <row r="24" spans="1:24" x14ac:dyDescent="0.3">
      <c r="A24" t="s">
        <v>24</v>
      </c>
      <c r="B24" t="s">
        <v>67</v>
      </c>
      <c r="C24" t="s">
        <v>60</v>
      </c>
      <c r="D24">
        <v>550</v>
      </c>
      <c r="E24">
        <v>280</v>
      </c>
      <c r="F24">
        <v>31</v>
      </c>
      <c r="G24">
        <v>48</v>
      </c>
      <c r="H24">
        <v>12</v>
      </c>
      <c r="I24">
        <v>61</v>
      </c>
      <c r="J24">
        <v>0</v>
      </c>
      <c r="K24">
        <v>265</v>
      </c>
      <c r="L24">
        <v>89</v>
      </c>
      <c r="M24">
        <v>1320</v>
      </c>
      <c r="N24">
        <v>55</v>
      </c>
      <c r="O24">
        <v>48</v>
      </c>
      <c r="P24">
        <v>16</v>
      </c>
      <c r="Q24">
        <v>2</v>
      </c>
      <c r="R24">
        <v>9</v>
      </c>
      <c r="S24">
        <v>15</v>
      </c>
      <c r="T24">
        <v>20</v>
      </c>
      <c r="U24">
        <v>10</v>
      </c>
      <c r="V24">
        <v>0</v>
      </c>
      <c r="W24">
        <v>20</v>
      </c>
      <c r="X24">
        <v>15</v>
      </c>
    </row>
    <row r="25" spans="1:24" x14ac:dyDescent="0.3">
      <c r="A25" t="s">
        <v>24</v>
      </c>
      <c r="B25" t="s">
        <v>68</v>
      </c>
      <c r="C25" t="s">
        <v>69</v>
      </c>
      <c r="D25">
        <v>500</v>
      </c>
      <c r="E25">
        <v>230</v>
      </c>
      <c r="F25">
        <v>26</v>
      </c>
      <c r="G25">
        <v>40</v>
      </c>
      <c r="H25">
        <v>10</v>
      </c>
      <c r="I25">
        <v>52</v>
      </c>
      <c r="J25">
        <v>0</v>
      </c>
      <c r="K25">
        <v>50</v>
      </c>
      <c r="L25">
        <v>17</v>
      </c>
      <c r="M25">
        <v>1320</v>
      </c>
      <c r="N25">
        <v>55</v>
      </c>
      <c r="O25">
        <v>46</v>
      </c>
      <c r="P25">
        <v>15</v>
      </c>
      <c r="Q25">
        <v>2</v>
      </c>
      <c r="R25">
        <v>9</v>
      </c>
      <c r="S25">
        <v>15</v>
      </c>
      <c r="T25">
        <v>21</v>
      </c>
      <c r="U25">
        <v>2</v>
      </c>
      <c r="V25">
        <v>0</v>
      </c>
      <c r="W25">
        <v>20</v>
      </c>
      <c r="X25">
        <v>10</v>
      </c>
    </row>
    <row r="26" spans="1:24" x14ac:dyDescent="0.3">
      <c r="A26" t="s">
        <v>24</v>
      </c>
      <c r="B26" t="s">
        <v>70</v>
      </c>
      <c r="C26" t="s">
        <v>71</v>
      </c>
      <c r="D26">
        <v>620</v>
      </c>
      <c r="E26">
        <v>280</v>
      </c>
      <c r="F26">
        <v>31</v>
      </c>
      <c r="G26">
        <v>48</v>
      </c>
      <c r="H26">
        <v>11</v>
      </c>
      <c r="I26">
        <v>56</v>
      </c>
      <c r="J26">
        <v>0.5</v>
      </c>
      <c r="K26">
        <v>275</v>
      </c>
      <c r="L26">
        <v>92</v>
      </c>
      <c r="M26">
        <v>1480</v>
      </c>
      <c r="N26">
        <v>62</v>
      </c>
      <c r="O26">
        <v>57</v>
      </c>
      <c r="P26">
        <v>19</v>
      </c>
      <c r="Q26">
        <v>3</v>
      </c>
      <c r="R26">
        <v>11</v>
      </c>
      <c r="S26">
        <v>7</v>
      </c>
      <c r="T26">
        <v>30</v>
      </c>
      <c r="U26">
        <v>20</v>
      </c>
      <c r="V26">
        <v>15</v>
      </c>
      <c r="W26">
        <v>20</v>
      </c>
      <c r="X26">
        <v>20</v>
      </c>
    </row>
    <row r="27" spans="1:24" x14ac:dyDescent="0.3">
      <c r="A27" t="s">
        <v>24</v>
      </c>
      <c r="B27" t="s">
        <v>72</v>
      </c>
      <c r="C27" t="s">
        <v>60</v>
      </c>
      <c r="D27">
        <v>570</v>
      </c>
      <c r="E27">
        <v>230</v>
      </c>
      <c r="F27">
        <v>25</v>
      </c>
      <c r="G27">
        <v>39</v>
      </c>
      <c r="H27">
        <v>9</v>
      </c>
      <c r="I27">
        <v>45</v>
      </c>
      <c r="J27">
        <v>0.5</v>
      </c>
      <c r="K27">
        <v>60</v>
      </c>
      <c r="L27">
        <v>20</v>
      </c>
      <c r="M27">
        <v>1480</v>
      </c>
      <c r="N27">
        <v>62</v>
      </c>
      <c r="O27">
        <v>55</v>
      </c>
      <c r="P27">
        <v>18</v>
      </c>
      <c r="Q27">
        <v>3</v>
      </c>
      <c r="R27">
        <v>12</v>
      </c>
      <c r="S27">
        <v>8</v>
      </c>
      <c r="T27">
        <v>30</v>
      </c>
      <c r="U27">
        <v>10</v>
      </c>
      <c r="V27">
        <v>15</v>
      </c>
      <c r="W27">
        <v>20</v>
      </c>
      <c r="X27">
        <v>15</v>
      </c>
    </row>
    <row r="28" spans="1:24" x14ac:dyDescent="0.3">
      <c r="A28" t="s">
        <v>24</v>
      </c>
      <c r="B28" t="s">
        <v>73</v>
      </c>
      <c r="C28" t="s">
        <v>74</v>
      </c>
      <c r="D28">
        <v>670</v>
      </c>
      <c r="E28">
        <v>310</v>
      </c>
      <c r="F28">
        <v>35</v>
      </c>
      <c r="G28">
        <v>53</v>
      </c>
      <c r="H28">
        <v>13</v>
      </c>
      <c r="I28">
        <v>63</v>
      </c>
      <c r="J28">
        <v>1.5</v>
      </c>
      <c r="K28">
        <v>295</v>
      </c>
      <c r="L28">
        <v>99</v>
      </c>
      <c r="M28">
        <v>1510</v>
      </c>
      <c r="N28">
        <v>63</v>
      </c>
      <c r="O28">
        <v>56</v>
      </c>
      <c r="P28">
        <v>19</v>
      </c>
      <c r="Q28">
        <v>3</v>
      </c>
      <c r="R28">
        <v>12</v>
      </c>
      <c r="S28">
        <v>7</v>
      </c>
      <c r="T28">
        <v>33</v>
      </c>
      <c r="U28">
        <v>20</v>
      </c>
      <c r="V28">
        <v>4</v>
      </c>
      <c r="W28">
        <v>25</v>
      </c>
      <c r="X28">
        <v>25</v>
      </c>
    </row>
    <row r="29" spans="1:24" x14ac:dyDescent="0.3">
      <c r="A29" t="s">
        <v>24</v>
      </c>
      <c r="B29" t="s">
        <v>75</v>
      </c>
      <c r="C29" t="s">
        <v>76</v>
      </c>
      <c r="D29">
        <v>740</v>
      </c>
      <c r="E29">
        <v>430</v>
      </c>
      <c r="F29">
        <v>48</v>
      </c>
      <c r="G29">
        <v>73</v>
      </c>
      <c r="H29">
        <v>17</v>
      </c>
      <c r="I29">
        <v>87</v>
      </c>
      <c r="J29">
        <v>0</v>
      </c>
      <c r="K29">
        <v>555</v>
      </c>
      <c r="L29">
        <v>185</v>
      </c>
      <c r="M29">
        <v>1560</v>
      </c>
      <c r="N29">
        <v>65</v>
      </c>
      <c r="O29">
        <v>51</v>
      </c>
      <c r="P29">
        <v>17</v>
      </c>
      <c r="Q29">
        <v>3</v>
      </c>
      <c r="R29">
        <v>12</v>
      </c>
      <c r="S29">
        <v>3</v>
      </c>
      <c r="T29">
        <v>28</v>
      </c>
      <c r="U29">
        <v>15</v>
      </c>
      <c r="V29">
        <v>2</v>
      </c>
      <c r="W29">
        <v>15</v>
      </c>
      <c r="X29">
        <v>25</v>
      </c>
    </row>
    <row r="30" spans="1:24" x14ac:dyDescent="0.3">
      <c r="A30" t="s">
        <v>24</v>
      </c>
      <c r="B30" t="s">
        <v>77</v>
      </c>
      <c r="C30" t="s">
        <v>78</v>
      </c>
      <c r="D30">
        <v>800</v>
      </c>
      <c r="E30">
        <v>470</v>
      </c>
      <c r="F30">
        <v>52</v>
      </c>
      <c r="G30">
        <v>80</v>
      </c>
      <c r="H30">
        <v>18</v>
      </c>
      <c r="I30">
        <v>90</v>
      </c>
      <c r="J30">
        <v>0</v>
      </c>
      <c r="K30">
        <v>555</v>
      </c>
      <c r="L30">
        <v>185</v>
      </c>
      <c r="M30">
        <v>1680</v>
      </c>
      <c r="N30">
        <v>70</v>
      </c>
      <c r="O30">
        <v>56</v>
      </c>
      <c r="P30">
        <v>19</v>
      </c>
      <c r="Q30">
        <v>4</v>
      </c>
      <c r="R30">
        <v>17</v>
      </c>
      <c r="S30">
        <v>3</v>
      </c>
      <c r="T30">
        <v>28</v>
      </c>
      <c r="U30">
        <v>15</v>
      </c>
      <c r="V30">
        <v>2</v>
      </c>
      <c r="W30">
        <v>15</v>
      </c>
      <c r="X30">
        <v>30</v>
      </c>
    </row>
    <row r="31" spans="1:24" x14ac:dyDescent="0.3">
      <c r="A31" t="s">
        <v>24</v>
      </c>
      <c r="B31" t="s">
        <v>79</v>
      </c>
      <c r="C31" t="s">
        <v>80</v>
      </c>
      <c r="D31">
        <v>640</v>
      </c>
      <c r="E31">
        <v>330</v>
      </c>
      <c r="F31">
        <v>37</v>
      </c>
      <c r="G31">
        <v>57</v>
      </c>
      <c r="H31">
        <v>14</v>
      </c>
      <c r="I31">
        <v>69</v>
      </c>
      <c r="J31">
        <v>0</v>
      </c>
      <c r="K31">
        <v>35</v>
      </c>
      <c r="L31">
        <v>12</v>
      </c>
      <c r="M31">
        <v>1590</v>
      </c>
      <c r="N31">
        <v>66</v>
      </c>
      <c r="O31">
        <v>50</v>
      </c>
      <c r="P31">
        <v>17</v>
      </c>
      <c r="Q31">
        <v>3</v>
      </c>
      <c r="R31">
        <v>12</v>
      </c>
      <c r="S31">
        <v>3</v>
      </c>
      <c r="T31">
        <v>26</v>
      </c>
      <c r="U31">
        <v>0</v>
      </c>
      <c r="V31">
        <v>2</v>
      </c>
      <c r="W31">
        <v>10</v>
      </c>
      <c r="X31">
        <v>15</v>
      </c>
    </row>
    <row r="32" spans="1:24" x14ac:dyDescent="0.3">
      <c r="A32" t="s">
        <v>24</v>
      </c>
      <c r="B32" t="s">
        <v>81</v>
      </c>
      <c r="C32" t="s">
        <v>82</v>
      </c>
      <c r="D32">
        <v>690</v>
      </c>
      <c r="E32">
        <v>370</v>
      </c>
      <c r="F32">
        <v>41</v>
      </c>
      <c r="G32">
        <v>63</v>
      </c>
      <c r="H32">
        <v>14</v>
      </c>
      <c r="I32">
        <v>72</v>
      </c>
      <c r="J32">
        <v>0</v>
      </c>
      <c r="K32">
        <v>35</v>
      </c>
      <c r="L32">
        <v>12</v>
      </c>
      <c r="M32">
        <v>1700</v>
      </c>
      <c r="N32">
        <v>71</v>
      </c>
      <c r="O32">
        <v>55</v>
      </c>
      <c r="P32">
        <v>18</v>
      </c>
      <c r="Q32">
        <v>4</v>
      </c>
      <c r="R32">
        <v>17</v>
      </c>
      <c r="S32">
        <v>4</v>
      </c>
      <c r="T32">
        <v>26</v>
      </c>
      <c r="U32">
        <v>4</v>
      </c>
      <c r="V32">
        <v>2</v>
      </c>
      <c r="W32">
        <v>10</v>
      </c>
      <c r="X32">
        <v>15</v>
      </c>
    </row>
    <row r="33" spans="1:24" x14ac:dyDescent="0.3">
      <c r="A33" t="s">
        <v>24</v>
      </c>
      <c r="B33" t="s">
        <v>83</v>
      </c>
      <c r="C33" t="s">
        <v>84</v>
      </c>
      <c r="D33">
        <v>1090</v>
      </c>
      <c r="E33">
        <v>510</v>
      </c>
      <c r="F33">
        <v>56</v>
      </c>
      <c r="G33">
        <v>87</v>
      </c>
      <c r="H33">
        <v>19</v>
      </c>
      <c r="I33">
        <v>96</v>
      </c>
      <c r="J33">
        <v>0</v>
      </c>
      <c r="K33">
        <v>575</v>
      </c>
      <c r="L33">
        <v>192</v>
      </c>
      <c r="M33">
        <v>2150</v>
      </c>
      <c r="N33">
        <v>90</v>
      </c>
      <c r="O33">
        <v>111</v>
      </c>
      <c r="P33">
        <v>37</v>
      </c>
      <c r="Q33">
        <v>6</v>
      </c>
      <c r="R33">
        <v>23</v>
      </c>
      <c r="S33">
        <v>17</v>
      </c>
      <c r="T33">
        <v>36</v>
      </c>
      <c r="U33">
        <v>15</v>
      </c>
      <c r="V33">
        <v>2</v>
      </c>
      <c r="W33">
        <v>25</v>
      </c>
      <c r="X33">
        <v>40</v>
      </c>
    </row>
    <row r="34" spans="1:24" x14ac:dyDescent="0.3">
      <c r="A34" t="s">
        <v>24</v>
      </c>
      <c r="B34" t="s">
        <v>85</v>
      </c>
      <c r="C34" t="s">
        <v>86</v>
      </c>
      <c r="D34">
        <v>1150</v>
      </c>
      <c r="E34">
        <v>540</v>
      </c>
      <c r="F34">
        <v>60</v>
      </c>
      <c r="G34">
        <v>93</v>
      </c>
      <c r="H34">
        <v>20</v>
      </c>
      <c r="I34">
        <v>100</v>
      </c>
      <c r="J34">
        <v>0</v>
      </c>
      <c r="K34">
        <v>575</v>
      </c>
      <c r="L34">
        <v>192</v>
      </c>
      <c r="M34">
        <v>2260</v>
      </c>
      <c r="N34">
        <v>94</v>
      </c>
      <c r="O34">
        <v>116</v>
      </c>
      <c r="P34">
        <v>39</v>
      </c>
      <c r="Q34">
        <v>7</v>
      </c>
      <c r="R34">
        <v>28</v>
      </c>
      <c r="S34">
        <v>17</v>
      </c>
      <c r="T34">
        <v>36</v>
      </c>
      <c r="U34">
        <v>15</v>
      </c>
      <c r="V34">
        <v>2</v>
      </c>
      <c r="W34">
        <v>30</v>
      </c>
      <c r="X34">
        <v>40</v>
      </c>
    </row>
    <row r="35" spans="1:24" x14ac:dyDescent="0.3">
      <c r="A35" t="s">
        <v>24</v>
      </c>
      <c r="B35" t="s">
        <v>87</v>
      </c>
      <c r="C35" t="s">
        <v>88</v>
      </c>
      <c r="D35">
        <v>990</v>
      </c>
      <c r="E35">
        <v>410</v>
      </c>
      <c r="F35">
        <v>46</v>
      </c>
      <c r="G35">
        <v>70</v>
      </c>
      <c r="H35">
        <v>16</v>
      </c>
      <c r="I35">
        <v>78</v>
      </c>
      <c r="J35">
        <v>0</v>
      </c>
      <c r="K35">
        <v>55</v>
      </c>
      <c r="L35">
        <v>19</v>
      </c>
      <c r="M35">
        <v>2170</v>
      </c>
      <c r="N35">
        <v>91</v>
      </c>
      <c r="O35">
        <v>110</v>
      </c>
      <c r="P35">
        <v>37</v>
      </c>
      <c r="Q35">
        <v>6</v>
      </c>
      <c r="R35">
        <v>23</v>
      </c>
      <c r="S35">
        <v>17</v>
      </c>
      <c r="T35">
        <v>35</v>
      </c>
      <c r="U35">
        <v>0</v>
      </c>
      <c r="V35">
        <v>2</v>
      </c>
      <c r="W35">
        <v>25</v>
      </c>
      <c r="X35">
        <v>30</v>
      </c>
    </row>
    <row r="36" spans="1:24" x14ac:dyDescent="0.3">
      <c r="A36" t="s">
        <v>24</v>
      </c>
      <c r="B36" t="s">
        <v>89</v>
      </c>
      <c r="C36" t="s">
        <v>90</v>
      </c>
      <c r="D36">
        <v>1050</v>
      </c>
      <c r="E36">
        <v>450</v>
      </c>
      <c r="F36">
        <v>50</v>
      </c>
      <c r="G36">
        <v>77</v>
      </c>
      <c r="H36">
        <v>16</v>
      </c>
      <c r="I36">
        <v>81</v>
      </c>
      <c r="J36">
        <v>0</v>
      </c>
      <c r="K36">
        <v>55</v>
      </c>
      <c r="L36">
        <v>19</v>
      </c>
      <c r="M36">
        <v>2290</v>
      </c>
      <c r="N36">
        <v>95</v>
      </c>
      <c r="O36">
        <v>115</v>
      </c>
      <c r="P36">
        <v>38</v>
      </c>
      <c r="Q36">
        <v>7</v>
      </c>
      <c r="R36">
        <v>28</v>
      </c>
      <c r="S36">
        <v>18</v>
      </c>
      <c r="T36">
        <v>35</v>
      </c>
      <c r="U36">
        <v>4</v>
      </c>
      <c r="V36">
        <v>2</v>
      </c>
      <c r="W36">
        <v>25</v>
      </c>
      <c r="X36">
        <v>30</v>
      </c>
    </row>
    <row r="37" spans="1:24" x14ac:dyDescent="0.3">
      <c r="A37" t="s">
        <v>24</v>
      </c>
      <c r="B37" t="s">
        <v>91</v>
      </c>
      <c r="C37" t="s">
        <v>92</v>
      </c>
      <c r="D37">
        <v>350</v>
      </c>
      <c r="E37">
        <v>80</v>
      </c>
      <c r="F37">
        <v>9</v>
      </c>
      <c r="G37">
        <v>13</v>
      </c>
      <c r="H37">
        <v>2</v>
      </c>
      <c r="I37">
        <v>9</v>
      </c>
      <c r="J37">
        <v>0</v>
      </c>
      <c r="K37">
        <v>20</v>
      </c>
      <c r="L37">
        <v>7</v>
      </c>
      <c r="M37">
        <v>590</v>
      </c>
      <c r="N37">
        <v>24</v>
      </c>
      <c r="O37">
        <v>60</v>
      </c>
      <c r="P37">
        <v>20</v>
      </c>
      <c r="Q37">
        <v>3</v>
      </c>
      <c r="R37">
        <v>10</v>
      </c>
      <c r="S37">
        <v>14</v>
      </c>
      <c r="T37">
        <v>8</v>
      </c>
      <c r="U37">
        <v>0</v>
      </c>
      <c r="V37">
        <v>0</v>
      </c>
      <c r="W37">
        <v>15</v>
      </c>
      <c r="X37">
        <v>15</v>
      </c>
    </row>
    <row r="38" spans="1:24" x14ac:dyDescent="0.3">
      <c r="A38" t="s">
        <v>24</v>
      </c>
      <c r="B38" t="s">
        <v>93</v>
      </c>
      <c r="C38" t="s">
        <v>94</v>
      </c>
      <c r="D38">
        <v>520</v>
      </c>
      <c r="E38">
        <v>210</v>
      </c>
      <c r="F38">
        <v>24</v>
      </c>
      <c r="G38">
        <v>37</v>
      </c>
      <c r="H38">
        <v>7</v>
      </c>
      <c r="I38">
        <v>36</v>
      </c>
      <c r="J38">
        <v>0</v>
      </c>
      <c r="K38">
        <v>50</v>
      </c>
      <c r="L38">
        <v>17</v>
      </c>
      <c r="M38">
        <v>930</v>
      </c>
      <c r="N38">
        <v>39</v>
      </c>
      <c r="O38">
        <v>61</v>
      </c>
      <c r="P38">
        <v>20</v>
      </c>
      <c r="Q38">
        <v>3</v>
      </c>
      <c r="R38">
        <v>10</v>
      </c>
      <c r="S38">
        <v>14</v>
      </c>
      <c r="T38">
        <v>15</v>
      </c>
      <c r="U38">
        <v>0</v>
      </c>
      <c r="V38">
        <v>0</v>
      </c>
      <c r="W38">
        <v>15</v>
      </c>
      <c r="X38">
        <v>15</v>
      </c>
    </row>
    <row r="39" spans="1:24" x14ac:dyDescent="0.3">
      <c r="A39" t="s">
        <v>24</v>
      </c>
      <c r="B39" t="s">
        <v>95</v>
      </c>
      <c r="C39" t="s">
        <v>30</v>
      </c>
      <c r="D39">
        <v>300</v>
      </c>
      <c r="E39">
        <v>150</v>
      </c>
      <c r="F39">
        <v>16</v>
      </c>
      <c r="G39">
        <v>25</v>
      </c>
      <c r="H39">
        <v>7</v>
      </c>
      <c r="I39">
        <v>33</v>
      </c>
      <c r="J39">
        <v>0</v>
      </c>
      <c r="K39">
        <v>115</v>
      </c>
      <c r="L39">
        <v>38</v>
      </c>
      <c r="M39">
        <v>790</v>
      </c>
      <c r="N39">
        <v>33</v>
      </c>
      <c r="O39">
        <v>26</v>
      </c>
      <c r="P39">
        <v>9</v>
      </c>
      <c r="Q39">
        <v>1</v>
      </c>
      <c r="R39">
        <v>5</v>
      </c>
      <c r="S39">
        <v>2</v>
      </c>
      <c r="T39">
        <v>12</v>
      </c>
      <c r="U39">
        <v>10</v>
      </c>
      <c r="V39">
        <v>2</v>
      </c>
      <c r="W39">
        <v>15</v>
      </c>
      <c r="X39">
        <v>15</v>
      </c>
    </row>
    <row r="40" spans="1:24" x14ac:dyDescent="0.3">
      <c r="A40" t="s">
        <v>24</v>
      </c>
      <c r="B40" t="s">
        <v>96</v>
      </c>
      <c r="C40" t="s">
        <v>97</v>
      </c>
      <c r="D40">
        <v>150</v>
      </c>
      <c r="E40">
        <v>80</v>
      </c>
      <c r="F40">
        <v>9</v>
      </c>
      <c r="G40">
        <v>14</v>
      </c>
      <c r="H40">
        <v>1.5</v>
      </c>
      <c r="I40">
        <v>6</v>
      </c>
      <c r="J40">
        <v>0</v>
      </c>
      <c r="K40">
        <v>0</v>
      </c>
      <c r="L40">
        <v>0</v>
      </c>
      <c r="M40">
        <v>310</v>
      </c>
      <c r="N40">
        <v>13</v>
      </c>
      <c r="O40">
        <v>15</v>
      </c>
      <c r="P40">
        <v>5</v>
      </c>
      <c r="Q40">
        <v>2</v>
      </c>
      <c r="R40">
        <v>6</v>
      </c>
      <c r="S40">
        <v>0</v>
      </c>
      <c r="T40">
        <v>1</v>
      </c>
      <c r="U40">
        <v>0</v>
      </c>
      <c r="V40">
        <v>2</v>
      </c>
      <c r="W40">
        <v>0</v>
      </c>
      <c r="X40">
        <v>2</v>
      </c>
    </row>
    <row r="41" spans="1:24" x14ac:dyDescent="0.3">
      <c r="A41" t="s">
        <v>24</v>
      </c>
      <c r="B41" t="s">
        <v>98</v>
      </c>
      <c r="C41" t="s">
        <v>99</v>
      </c>
      <c r="D41">
        <v>460</v>
      </c>
      <c r="E41">
        <v>170</v>
      </c>
      <c r="F41">
        <v>19</v>
      </c>
      <c r="G41">
        <v>30</v>
      </c>
      <c r="H41">
        <v>9</v>
      </c>
      <c r="I41">
        <v>43</v>
      </c>
      <c r="J41">
        <v>0</v>
      </c>
      <c r="K41">
        <v>15</v>
      </c>
      <c r="L41">
        <v>5</v>
      </c>
      <c r="M41">
        <v>370</v>
      </c>
      <c r="N41">
        <v>15</v>
      </c>
      <c r="O41">
        <v>66</v>
      </c>
      <c r="P41">
        <v>22</v>
      </c>
      <c r="Q41">
        <v>3</v>
      </c>
      <c r="R41">
        <v>11</v>
      </c>
      <c r="S41">
        <v>32</v>
      </c>
      <c r="T41">
        <v>6</v>
      </c>
      <c r="U41">
        <v>4</v>
      </c>
      <c r="V41">
        <v>0</v>
      </c>
      <c r="W41">
        <v>6</v>
      </c>
      <c r="X41">
        <v>15</v>
      </c>
    </row>
    <row r="42" spans="1:24" x14ac:dyDescent="0.3">
      <c r="A42" t="s">
        <v>24</v>
      </c>
      <c r="B42" t="s">
        <v>100</v>
      </c>
      <c r="C42" t="s">
        <v>101</v>
      </c>
      <c r="D42">
        <v>290</v>
      </c>
      <c r="E42">
        <v>35</v>
      </c>
      <c r="F42">
        <v>4</v>
      </c>
      <c r="G42">
        <v>6</v>
      </c>
      <c r="H42">
        <v>1.5</v>
      </c>
      <c r="I42">
        <v>8</v>
      </c>
      <c r="J42">
        <v>0</v>
      </c>
      <c r="K42">
        <v>5</v>
      </c>
      <c r="L42">
        <v>2</v>
      </c>
      <c r="M42">
        <v>160</v>
      </c>
      <c r="N42">
        <v>7</v>
      </c>
      <c r="O42">
        <v>58</v>
      </c>
      <c r="P42">
        <v>19</v>
      </c>
      <c r="Q42">
        <v>5</v>
      </c>
      <c r="R42">
        <v>19</v>
      </c>
      <c r="S42">
        <v>32</v>
      </c>
      <c r="T42">
        <v>5</v>
      </c>
      <c r="U42">
        <v>2</v>
      </c>
      <c r="V42">
        <v>130</v>
      </c>
      <c r="W42">
        <v>10</v>
      </c>
      <c r="X42">
        <v>10</v>
      </c>
    </row>
    <row r="43" spans="1:24" x14ac:dyDescent="0.3">
      <c r="A43" t="s">
        <v>24</v>
      </c>
      <c r="B43" t="s">
        <v>102</v>
      </c>
      <c r="C43" t="s">
        <v>101</v>
      </c>
      <c r="D43">
        <v>260</v>
      </c>
      <c r="E43">
        <v>40</v>
      </c>
      <c r="F43">
        <v>4</v>
      </c>
      <c r="G43">
        <v>6</v>
      </c>
      <c r="H43">
        <v>1.5</v>
      </c>
      <c r="I43">
        <v>8</v>
      </c>
      <c r="J43">
        <v>0</v>
      </c>
      <c r="K43">
        <v>5</v>
      </c>
      <c r="L43">
        <v>2</v>
      </c>
      <c r="M43">
        <v>115</v>
      </c>
      <c r="N43">
        <v>5</v>
      </c>
      <c r="O43">
        <v>49</v>
      </c>
      <c r="P43">
        <v>16</v>
      </c>
      <c r="Q43">
        <v>5</v>
      </c>
      <c r="R43">
        <v>22</v>
      </c>
      <c r="S43">
        <v>18</v>
      </c>
      <c r="T43">
        <v>5</v>
      </c>
      <c r="U43">
        <v>2</v>
      </c>
      <c r="V43">
        <v>130</v>
      </c>
      <c r="W43">
        <v>6</v>
      </c>
      <c r="X43">
        <v>10</v>
      </c>
    </row>
    <row r="44" spans="1:24" x14ac:dyDescent="0.3">
      <c r="A44" t="s">
        <v>103</v>
      </c>
      <c r="B44" t="s">
        <v>104</v>
      </c>
      <c r="C44" t="s">
        <v>105</v>
      </c>
      <c r="D44">
        <v>530</v>
      </c>
      <c r="E44">
        <v>240</v>
      </c>
      <c r="F44">
        <v>27</v>
      </c>
      <c r="G44">
        <v>42</v>
      </c>
      <c r="H44">
        <v>10</v>
      </c>
      <c r="I44">
        <v>48</v>
      </c>
      <c r="J44">
        <v>1</v>
      </c>
      <c r="K44">
        <v>85</v>
      </c>
      <c r="L44">
        <v>28</v>
      </c>
      <c r="M44">
        <v>960</v>
      </c>
      <c r="N44">
        <v>40</v>
      </c>
      <c r="O44">
        <v>47</v>
      </c>
      <c r="P44">
        <v>16</v>
      </c>
      <c r="Q44">
        <v>3</v>
      </c>
      <c r="R44">
        <v>13</v>
      </c>
      <c r="S44">
        <v>9</v>
      </c>
      <c r="T44">
        <v>24</v>
      </c>
      <c r="U44">
        <v>6</v>
      </c>
      <c r="V44">
        <v>2</v>
      </c>
      <c r="W44">
        <v>25</v>
      </c>
      <c r="X44">
        <v>25</v>
      </c>
    </row>
    <row r="45" spans="1:24" x14ac:dyDescent="0.3">
      <c r="A45" t="s">
        <v>103</v>
      </c>
      <c r="B45" t="s">
        <v>106</v>
      </c>
      <c r="C45" t="s">
        <v>107</v>
      </c>
      <c r="D45">
        <v>520</v>
      </c>
      <c r="E45">
        <v>240</v>
      </c>
      <c r="F45">
        <v>26</v>
      </c>
      <c r="G45">
        <v>41</v>
      </c>
      <c r="H45">
        <v>12</v>
      </c>
      <c r="I45">
        <v>61</v>
      </c>
      <c r="J45">
        <v>1.5</v>
      </c>
      <c r="K45">
        <v>95</v>
      </c>
      <c r="L45">
        <v>31</v>
      </c>
      <c r="M45">
        <v>1100</v>
      </c>
      <c r="N45">
        <v>46</v>
      </c>
      <c r="O45">
        <v>41</v>
      </c>
      <c r="P45">
        <v>14</v>
      </c>
      <c r="Q45">
        <v>3</v>
      </c>
      <c r="R45">
        <v>11</v>
      </c>
      <c r="S45">
        <v>10</v>
      </c>
      <c r="T45">
        <v>30</v>
      </c>
      <c r="U45">
        <v>10</v>
      </c>
      <c r="V45">
        <v>2</v>
      </c>
      <c r="W45">
        <v>30</v>
      </c>
      <c r="X45">
        <v>25</v>
      </c>
    </row>
    <row r="46" spans="1:24" x14ac:dyDescent="0.3">
      <c r="A46" t="s">
        <v>103</v>
      </c>
      <c r="B46" t="s">
        <v>108</v>
      </c>
      <c r="C46" t="s">
        <v>109</v>
      </c>
      <c r="D46">
        <v>600</v>
      </c>
      <c r="E46">
        <v>260</v>
      </c>
      <c r="F46">
        <v>29</v>
      </c>
      <c r="G46">
        <v>45</v>
      </c>
      <c r="H46">
        <v>13</v>
      </c>
      <c r="I46">
        <v>63</v>
      </c>
      <c r="J46">
        <v>1.5</v>
      </c>
      <c r="K46">
        <v>105</v>
      </c>
      <c r="L46">
        <v>34</v>
      </c>
      <c r="M46">
        <v>1440</v>
      </c>
      <c r="N46">
        <v>60</v>
      </c>
      <c r="O46">
        <v>48</v>
      </c>
      <c r="P46">
        <v>16</v>
      </c>
      <c r="Q46">
        <v>3</v>
      </c>
      <c r="R46">
        <v>12</v>
      </c>
      <c r="S46">
        <v>12</v>
      </c>
      <c r="T46">
        <v>37</v>
      </c>
      <c r="U46">
        <v>6</v>
      </c>
      <c r="V46">
        <v>15</v>
      </c>
      <c r="W46">
        <v>25</v>
      </c>
      <c r="X46">
        <v>30</v>
      </c>
    </row>
    <row r="47" spans="1:24" x14ac:dyDescent="0.3">
      <c r="A47" t="s">
        <v>103</v>
      </c>
      <c r="B47" t="s">
        <v>110</v>
      </c>
      <c r="C47" t="s">
        <v>111</v>
      </c>
      <c r="D47">
        <v>610</v>
      </c>
      <c r="E47">
        <v>280</v>
      </c>
      <c r="F47">
        <v>31</v>
      </c>
      <c r="G47">
        <v>48</v>
      </c>
      <c r="H47">
        <v>13</v>
      </c>
      <c r="I47">
        <v>64</v>
      </c>
      <c r="J47">
        <v>1.5</v>
      </c>
      <c r="K47">
        <v>105</v>
      </c>
      <c r="L47">
        <v>35</v>
      </c>
      <c r="M47">
        <v>1180</v>
      </c>
      <c r="N47">
        <v>49</v>
      </c>
      <c r="O47">
        <v>46</v>
      </c>
      <c r="P47">
        <v>15</v>
      </c>
      <c r="Q47">
        <v>3</v>
      </c>
      <c r="R47">
        <v>14</v>
      </c>
      <c r="S47">
        <v>10</v>
      </c>
      <c r="T47">
        <v>37</v>
      </c>
      <c r="U47">
        <v>8</v>
      </c>
      <c r="V47">
        <v>20</v>
      </c>
      <c r="W47">
        <v>25</v>
      </c>
      <c r="X47">
        <v>30</v>
      </c>
    </row>
    <row r="48" spans="1:24" x14ac:dyDescent="0.3">
      <c r="A48" t="s">
        <v>103</v>
      </c>
      <c r="B48" t="s">
        <v>112</v>
      </c>
      <c r="C48" t="s">
        <v>113</v>
      </c>
      <c r="D48">
        <v>540</v>
      </c>
      <c r="E48">
        <v>250</v>
      </c>
      <c r="F48">
        <v>27</v>
      </c>
      <c r="G48">
        <v>42</v>
      </c>
      <c r="H48">
        <v>11</v>
      </c>
      <c r="I48">
        <v>54</v>
      </c>
      <c r="J48">
        <v>1.5</v>
      </c>
      <c r="K48">
        <v>85</v>
      </c>
      <c r="L48">
        <v>28</v>
      </c>
      <c r="M48">
        <v>960</v>
      </c>
      <c r="N48">
        <v>40</v>
      </c>
      <c r="O48">
        <v>45</v>
      </c>
      <c r="P48">
        <v>15</v>
      </c>
      <c r="Q48">
        <v>3</v>
      </c>
      <c r="R48">
        <v>13</v>
      </c>
      <c r="S48">
        <v>9</v>
      </c>
      <c r="T48">
        <v>29</v>
      </c>
      <c r="U48">
        <v>10</v>
      </c>
      <c r="V48">
        <v>8</v>
      </c>
      <c r="W48">
        <v>25</v>
      </c>
      <c r="X48">
        <v>30</v>
      </c>
    </row>
    <row r="49" spans="1:24" x14ac:dyDescent="0.3">
      <c r="A49" t="s">
        <v>103</v>
      </c>
      <c r="B49" t="s">
        <v>114</v>
      </c>
      <c r="C49" t="s">
        <v>78</v>
      </c>
      <c r="D49">
        <v>750</v>
      </c>
      <c r="E49">
        <v>380</v>
      </c>
      <c r="F49">
        <v>43</v>
      </c>
      <c r="G49">
        <v>66</v>
      </c>
      <c r="H49">
        <v>19</v>
      </c>
      <c r="I49">
        <v>96</v>
      </c>
      <c r="J49">
        <v>2.5</v>
      </c>
      <c r="K49">
        <v>160</v>
      </c>
      <c r="L49">
        <v>53</v>
      </c>
      <c r="M49">
        <v>1280</v>
      </c>
      <c r="N49">
        <v>53</v>
      </c>
      <c r="O49">
        <v>42</v>
      </c>
      <c r="P49">
        <v>14</v>
      </c>
      <c r="Q49">
        <v>3</v>
      </c>
      <c r="R49">
        <v>11</v>
      </c>
      <c r="S49">
        <v>10</v>
      </c>
      <c r="T49">
        <v>48</v>
      </c>
      <c r="U49">
        <v>10</v>
      </c>
      <c r="V49">
        <v>2</v>
      </c>
      <c r="W49">
        <v>30</v>
      </c>
      <c r="X49">
        <v>35</v>
      </c>
    </row>
    <row r="50" spans="1:24" x14ac:dyDescent="0.3">
      <c r="A50" t="s">
        <v>103</v>
      </c>
      <c r="B50" t="s">
        <v>115</v>
      </c>
      <c r="C50" t="s">
        <v>116</v>
      </c>
      <c r="D50">
        <v>240</v>
      </c>
      <c r="E50">
        <v>70</v>
      </c>
      <c r="F50">
        <v>8</v>
      </c>
      <c r="G50">
        <v>12</v>
      </c>
      <c r="H50">
        <v>3</v>
      </c>
      <c r="I50">
        <v>15</v>
      </c>
      <c r="J50">
        <v>0</v>
      </c>
      <c r="K50">
        <v>30</v>
      </c>
      <c r="L50">
        <v>10</v>
      </c>
      <c r="M50">
        <v>480</v>
      </c>
      <c r="N50">
        <v>20</v>
      </c>
      <c r="O50">
        <v>32</v>
      </c>
      <c r="P50">
        <v>11</v>
      </c>
      <c r="Q50">
        <v>1</v>
      </c>
      <c r="R50">
        <v>6</v>
      </c>
      <c r="S50">
        <v>6</v>
      </c>
      <c r="T50">
        <v>12</v>
      </c>
      <c r="U50">
        <v>2</v>
      </c>
      <c r="V50">
        <v>2</v>
      </c>
      <c r="W50">
        <v>10</v>
      </c>
      <c r="X50">
        <v>15</v>
      </c>
    </row>
    <row r="51" spans="1:24" x14ac:dyDescent="0.3">
      <c r="A51" t="s">
        <v>103</v>
      </c>
      <c r="B51" t="s">
        <v>117</v>
      </c>
      <c r="C51" t="s">
        <v>118</v>
      </c>
      <c r="D51">
        <v>290</v>
      </c>
      <c r="E51">
        <v>100</v>
      </c>
      <c r="F51">
        <v>11</v>
      </c>
      <c r="G51">
        <v>18</v>
      </c>
      <c r="H51">
        <v>5</v>
      </c>
      <c r="I51">
        <v>27</v>
      </c>
      <c r="J51">
        <v>0.5</v>
      </c>
      <c r="K51">
        <v>45</v>
      </c>
      <c r="L51">
        <v>15</v>
      </c>
      <c r="M51">
        <v>680</v>
      </c>
      <c r="N51">
        <v>28</v>
      </c>
      <c r="O51">
        <v>33</v>
      </c>
      <c r="P51">
        <v>11</v>
      </c>
      <c r="Q51">
        <v>2</v>
      </c>
      <c r="R51">
        <v>7</v>
      </c>
      <c r="S51">
        <v>7</v>
      </c>
      <c r="T51">
        <v>15</v>
      </c>
      <c r="U51">
        <v>6</v>
      </c>
      <c r="V51">
        <v>2</v>
      </c>
      <c r="W51">
        <v>20</v>
      </c>
      <c r="X51">
        <v>15</v>
      </c>
    </row>
    <row r="52" spans="1:24" x14ac:dyDescent="0.3">
      <c r="A52" t="s">
        <v>103</v>
      </c>
      <c r="B52" t="s">
        <v>119</v>
      </c>
      <c r="C52" t="s">
        <v>32</v>
      </c>
      <c r="D52">
        <v>430</v>
      </c>
      <c r="E52">
        <v>190</v>
      </c>
      <c r="F52">
        <v>21</v>
      </c>
      <c r="G52">
        <v>32</v>
      </c>
      <c r="H52">
        <v>10</v>
      </c>
      <c r="I52">
        <v>52</v>
      </c>
      <c r="J52">
        <v>1</v>
      </c>
      <c r="K52">
        <v>90</v>
      </c>
      <c r="L52">
        <v>30</v>
      </c>
      <c r="M52">
        <v>1040</v>
      </c>
      <c r="N52">
        <v>43</v>
      </c>
      <c r="O52">
        <v>35</v>
      </c>
      <c r="P52">
        <v>12</v>
      </c>
      <c r="Q52">
        <v>2</v>
      </c>
      <c r="R52">
        <v>8</v>
      </c>
      <c r="S52">
        <v>7</v>
      </c>
      <c r="T52">
        <v>24</v>
      </c>
      <c r="U52">
        <v>10</v>
      </c>
      <c r="V52">
        <v>2</v>
      </c>
      <c r="W52">
        <v>30</v>
      </c>
      <c r="X52">
        <v>20</v>
      </c>
    </row>
    <row r="53" spans="1:24" x14ac:dyDescent="0.3">
      <c r="A53" t="s">
        <v>103</v>
      </c>
      <c r="B53" t="s">
        <v>120</v>
      </c>
      <c r="C53" t="s">
        <v>121</v>
      </c>
      <c r="D53">
        <v>720</v>
      </c>
      <c r="E53">
        <v>360</v>
      </c>
      <c r="F53">
        <v>40</v>
      </c>
      <c r="G53">
        <v>62</v>
      </c>
      <c r="H53">
        <v>15</v>
      </c>
      <c r="I53">
        <v>75</v>
      </c>
      <c r="J53">
        <v>1.5</v>
      </c>
      <c r="K53">
        <v>115</v>
      </c>
      <c r="L53">
        <v>38</v>
      </c>
      <c r="M53">
        <v>1470</v>
      </c>
      <c r="N53">
        <v>61</v>
      </c>
      <c r="O53">
        <v>51</v>
      </c>
      <c r="P53">
        <v>17</v>
      </c>
      <c r="Q53">
        <v>4</v>
      </c>
      <c r="R53">
        <v>14</v>
      </c>
      <c r="S53">
        <v>14</v>
      </c>
      <c r="T53">
        <v>39</v>
      </c>
      <c r="U53">
        <v>8</v>
      </c>
      <c r="V53">
        <v>25</v>
      </c>
      <c r="W53">
        <v>30</v>
      </c>
      <c r="X53">
        <v>25</v>
      </c>
    </row>
    <row r="54" spans="1:24" x14ac:dyDescent="0.3">
      <c r="A54" t="s">
        <v>103</v>
      </c>
      <c r="B54" t="s">
        <v>122</v>
      </c>
      <c r="C54" t="s">
        <v>123</v>
      </c>
      <c r="D54">
        <v>380</v>
      </c>
      <c r="E54">
        <v>150</v>
      </c>
      <c r="F54">
        <v>17</v>
      </c>
      <c r="G54">
        <v>26</v>
      </c>
      <c r="H54">
        <v>8</v>
      </c>
      <c r="I54">
        <v>40</v>
      </c>
      <c r="J54">
        <v>1</v>
      </c>
      <c r="K54">
        <v>75</v>
      </c>
      <c r="L54">
        <v>25</v>
      </c>
      <c r="M54">
        <v>840</v>
      </c>
      <c r="N54">
        <v>35</v>
      </c>
      <c r="O54">
        <v>34</v>
      </c>
      <c r="P54">
        <v>11</v>
      </c>
      <c r="Q54">
        <v>2</v>
      </c>
      <c r="R54">
        <v>7</v>
      </c>
      <c r="S54">
        <v>7</v>
      </c>
      <c r="T54">
        <v>22</v>
      </c>
      <c r="U54">
        <v>6</v>
      </c>
      <c r="V54">
        <v>2</v>
      </c>
      <c r="W54">
        <v>20</v>
      </c>
      <c r="X54">
        <v>20</v>
      </c>
    </row>
    <row r="55" spans="1:24" x14ac:dyDescent="0.3">
      <c r="A55" t="s">
        <v>103</v>
      </c>
      <c r="B55" t="s">
        <v>124</v>
      </c>
      <c r="C55" t="s">
        <v>32</v>
      </c>
      <c r="D55">
        <v>440</v>
      </c>
      <c r="E55">
        <v>200</v>
      </c>
      <c r="F55">
        <v>22</v>
      </c>
      <c r="G55">
        <v>34</v>
      </c>
      <c r="H55">
        <v>10</v>
      </c>
      <c r="I55">
        <v>49</v>
      </c>
      <c r="J55">
        <v>1</v>
      </c>
      <c r="K55">
        <v>90</v>
      </c>
      <c r="L55">
        <v>30</v>
      </c>
      <c r="M55">
        <v>1110</v>
      </c>
      <c r="N55">
        <v>46</v>
      </c>
      <c r="O55">
        <v>35</v>
      </c>
      <c r="P55">
        <v>12</v>
      </c>
      <c r="Q55">
        <v>2</v>
      </c>
      <c r="R55">
        <v>7</v>
      </c>
      <c r="S55">
        <v>7</v>
      </c>
      <c r="T55">
        <v>27</v>
      </c>
      <c r="U55">
        <v>6</v>
      </c>
      <c r="V55">
        <v>10</v>
      </c>
      <c r="W55">
        <v>20</v>
      </c>
      <c r="X55">
        <v>20</v>
      </c>
    </row>
    <row r="56" spans="1:24" x14ac:dyDescent="0.3">
      <c r="A56" t="s">
        <v>103</v>
      </c>
      <c r="B56" t="s">
        <v>125</v>
      </c>
      <c r="C56" t="s">
        <v>126</v>
      </c>
      <c r="D56">
        <v>430</v>
      </c>
      <c r="E56">
        <v>200</v>
      </c>
      <c r="F56">
        <v>22</v>
      </c>
      <c r="G56">
        <v>35</v>
      </c>
      <c r="H56">
        <v>9</v>
      </c>
      <c r="I56">
        <v>44</v>
      </c>
      <c r="J56">
        <v>1</v>
      </c>
      <c r="K56">
        <v>80</v>
      </c>
      <c r="L56">
        <v>27</v>
      </c>
      <c r="M56">
        <v>760</v>
      </c>
      <c r="N56">
        <v>32</v>
      </c>
      <c r="O56">
        <v>34</v>
      </c>
      <c r="P56">
        <v>11</v>
      </c>
      <c r="Q56">
        <v>2</v>
      </c>
      <c r="R56">
        <v>8</v>
      </c>
      <c r="S56">
        <v>7</v>
      </c>
      <c r="T56">
        <v>22</v>
      </c>
      <c r="U56">
        <v>8</v>
      </c>
      <c r="V56">
        <v>8</v>
      </c>
      <c r="W56">
        <v>20</v>
      </c>
      <c r="X56">
        <v>20</v>
      </c>
    </row>
    <row r="57" spans="1:24" x14ac:dyDescent="0.3">
      <c r="A57" t="s">
        <v>103</v>
      </c>
      <c r="B57" t="s">
        <v>127</v>
      </c>
      <c r="C57" t="s">
        <v>128</v>
      </c>
      <c r="D57">
        <v>430</v>
      </c>
      <c r="E57">
        <v>210</v>
      </c>
      <c r="F57">
        <v>23</v>
      </c>
      <c r="G57">
        <v>36</v>
      </c>
      <c r="H57">
        <v>9</v>
      </c>
      <c r="I57">
        <v>44</v>
      </c>
      <c r="J57">
        <v>1</v>
      </c>
      <c r="K57">
        <v>80</v>
      </c>
      <c r="L57">
        <v>27</v>
      </c>
      <c r="M57">
        <v>1030</v>
      </c>
      <c r="N57">
        <v>43</v>
      </c>
      <c r="O57">
        <v>35</v>
      </c>
      <c r="P57">
        <v>12</v>
      </c>
      <c r="Q57">
        <v>2</v>
      </c>
      <c r="R57">
        <v>7</v>
      </c>
      <c r="S57">
        <v>6</v>
      </c>
      <c r="T57">
        <v>22</v>
      </c>
      <c r="U57">
        <v>6</v>
      </c>
      <c r="V57">
        <v>8</v>
      </c>
      <c r="W57">
        <v>20</v>
      </c>
      <c r="X57">
        <v>20</v>
      </c>
    </row>
    <row r="58" spans="1:24" x14ac:dyDescent="0.3">
      <c r="A58" t="s">
        <v>103</v>
      </c>
      <c r="B58" t="s">
        <v>129</v>
      </c>
      <c r="C58" t="s">
        <v>130</v>
      </c>
      <c r="D58">
        <v>500</v>
      </c>
      <c r="E58">
        <v>240</v>
      </c>
      <c r="F58">
        <v>26</v>
      </c>
      <c r="G58">
        <v>40</v>
      </c>
      <c r="H58">
        <v>10</v>
      </c>
      <c r="I58">
        <v>48</v>
      </c>
      <c r="J58">
        <v>0</v>
      </c>
      <c r="K58">
        <v>70</v>
      </c>
      <c r="L58">
        <v>23</v>
      </c>
      <c r="M58">
        <v>980</v>
      </c>
      <c r="N58">
        <v>41</v>
      </c>
      <c r="O58">
        <v>44</v>
      </c>
      <c r="P58">
        <v>15</v>
      </c>
      <c r="Q58">
        <v>3</v>
      </c>
      <c r="R58">
        <v>10</v>
      </c>
      <c r="S58">
        <v>11</v>
      </c>
      <c r="T58">
        <v>22</v>
      </c>
      <c r="U58">
        <v>2</v>
      </c>
      <c r="V58">
        <v>2</v>
      </c>
      <c r="W58">
        <v>15</v>
      </c>
      <c r="X58">
        <v>20</v>
      </c>
    </row>
    <row r="59" spans="1:24" x14ac:dyDescent="0.3">
      <c r="A59" t="s">
        <v>131</v>
      </c>
      <c r="B59" t="s">
        <v>132</v>
      </c>
      <c r="C59" t="s">
        <v>133</v>
      </c>
      <c r="D59">
        <v>510</v>
      </c>
      <c r="E59">
        <v>200</v>
      </c>
      <c r="F59">
        <v>22</v>
      </c>
      <c r="G59">
        <v>33</v>
      </c>
      <c r="H59">
        <v>3.5</v>
      </c>
      <c r="I59">
        <v>18</v>
      </c>
      <c r="J59">
        <v>0</v>
      </c>
      <c r="K59">
        <v>45</v>
      </c>
      <c r="L59">
        <v>16</v>
      </c>
      <c r="M59">
        <v>990</v>
      </c>
      <c r="N59">
        <v>41</v>
      </c>
      <c r="O59">
        <v>55</v>
      </c>
      <c r="P59">
        <v>18</v>
      </c>
      <c r="Q59">
        <v>3</v>
      </c>
      <c r="R59">
        <v>13</v>
      </c>
      <c r="S59">
        <v>10</v>
      </c>
      <c r="T59">
        <v>24</v>
      </c>
      <c r="U59">
        <v>4</v>
      </c>
      <c r="V59">
        <v>6</v>
      </c>
      <c r="W59">
        <v>15</v>
      </c>
      <c r="X59">
        <v>20</v>
      </c>
    </row>
    <row r="60" spans="1:24" x14ac:dyDescent="0.3">
      <c r="A60" t="s">
        <v>131</v>
      </c>
      <c r="B60" t="s">
        <v>134</v>
      </c>
      <c r="C60" t="s">
        <v>135</v>
      </c>
      <c r="D60">
        <v>350</v>
      </c>
      <c r="E60">
        <v>80</v>
      </c>
      <c r="F60">
        <v>9</v>
      </c>
      <c r="G60">
        <v>13</v>
      </c>
      <c r="H60">
        <v>2</v>
      </c>
      <c r="I60">
        <v>9</v>
      </c>
      <c r="J60">
        <v>0</v>
      </c>
      <c r="K60">
        <v>65</v>
      </c>
      <c r="L60">
        <v>22</v>
      </c>
      <c r="M60">
        <v>820</v>
      </c>
      <c r="N60">
        <v>34</v>
      </c>
      <c r="O60">
        <v>42</v>
      </c>
      <c r="P60">
        <v>14</v>
      </c>
      <c r="Q60">
        <v>3</v>
      </c>
      <c r="R60">
        <v>13</v>
      </c>
      <c r="S60">
        <v>8</v>
      </c>
      <c r="T60">
        <v>28</v>
      </c>
      <c r="U60">
        <v>4</v>
      </c>
      <c r="V60">
        <v>8</v>
      </c>
      <c r="W60">
        <v>15</v>
      </c>
      <c r="X60">
        <v>20</v>
      </c>
    </row>
    <row r="61" spans="1:24" x14ac:dyDescent="0.3">
      <c r="A61" t="s">
        <v>131</v>
      </c>
      <c r="B61" t="s">
        <v>136</v>
      </c>
      <c r="C61" t="s">
        <v>137</v>
      </c>
      <c r="D61">
        <v>670</v>
      </c>
      <c r="E61">
        <v>300</v>
      </c>
      <c r="F61">
        <v>33</v>
      </c>
      <c r="G61">
        <v>51</v>
      </c>
      <c r="H61">
        <v>9</v>
      </c>
      <c r="I61">
        <v>44</v>
      </c>
      <c r="J61">
        <v>0</v>
      </c>
      <c r="K61">
        <v>85</v>
      </c>
      <c r="L61">
        <v>29</v>
      </c>
      <c r="M61">
        <v>1410</v>
      </c>
      <c r="N61">
        <v>59</v>
      </c>
      <c r="O61">
        <v>58</v>
      </c>
      <c r="P61">
        <v>19</v>
      </c>
      <c r="Q61">
        <v>3</v>
      </c>
      <c r="R61">
        <v>14</v>
      </c>
      <c r="S61">
        <v>11</v>
      </c>
      <c r="T61">
        <v>36</v>
      </c>
      <c r="U61">
        <v>8</v>
      </c>
      <c r="V61">
        <v>20</v>
      </c>
      <c r="W61">
        <v>30</v>
      </c>
      <c r="X61">
        <v>20</v>
      </c>
    </row>
    <row r="62" spans="1:24" x14ac:dyDescent="0.3">
      <c r="A62" t="s">
        <v>131</v>
      </c>
      <c r="B62" t="s">
        <v>138</v>
      </c>
      <c r="C62" t="s">
        <v>111</v>
      </c>
      <c r="D62">
        <v>510</v>
      </c>
      <c r="E62">
        <v>180</v>
      </c>
      <c r="F62">
        <v>20</v>
      </c>
      <c r="G62">
        <v>31</v>
      </c>
      <c r="H62">
        <v>7</v>
      </c>
      <c r="I62">
        <v>36</v>
      </c>
      <c r="J62">
        <v>0</v>
      </c>
      <c r="K62">
        <v>105</v>
      </c>
      <c r="L62">
        <v>35</v>
      </c>
      <c r="M62">
        <v>1250</v>
      </c>
      <c r="N62">
        <v>52</v>
      </c>
      <c r="O62">
        <v>44</v>
      </c>
      <c r="P62">
        <v>15</v>
      </c>
      <c r="Q62">
        <v>3</v>
      </c>
      <c r="R62">
        <v>13</v>
      </c>
      <c r="S62">
        <v>9</v>
      </c>
      <c r="T62">
        <v>40</v>
      </c>
      <c r="U62">
        <v>8</v>
      </c>
      <c r="V62">
        <v>20</v>
      </c>
      <c r="W62">
        <v>30</v>
      </c>
      <c r="X62">
        <v>20</v>
      </c>
    </row>
    <row r="63" spans="1:24" x14ac:dyDescent="0.3">
      <c r="A63" t="s">
        <v>131</v>
      </c>
      <c r="B63" t="s">
        <v>139</v>
      </c>
      <c r="C63" t="s">
        <v>140</v>
      </c>
      <c r="D63">
        <v>610</v>
      </c>
      <c r="E63">
        <v>250</v>
      </c>
      <c r="F63">
        <v>28</v>
      </c>
      <c r="G63">
        <v>43</v>
      </c>
      <c r="H63">
        <v>6</v>
      </c>
      <c r="I63">
        <v>31</v>
      </c>
      <c r="J63">
        <v>0</v>
      </c>
      <c r="K63">
        <v>70</v>
      </c>
      <c r="L63">
        <v>24</v>
      </c>
      <c r="M63">
        <v>1400</v>
      </c>
      <c r="N63">
        <v>58</v>
      </c>
      <c r="O63">
        <v>57</v>
      </c>
      <c r="P63">
        <v>19</v>
      </c>
      <c r="Q63">
        <v>3</v>
      </c>
      <c r="R63">
        <v>13</v>
      </c>
      <c r="S63">
        <v>11</v>
      </c>
      <c r="T63">
        <v>32</v>
      </c>
      <c r="U63">
        <v>4</v>
      </c>
      <c r="V63">
        <v>20</v>
      </c>
      <c r="W63">
        <v>15</v>
      </c>
      <c r="X63">
        <v>20</v>
      </c>
    </row>
    <row r="64" spans="1:24" x14ac:dyDescent="0.3">
      <c r="A64" t="s">
        <v>131</v>
      </c>
      <c r="B64" t="s">
        <v>141</v>
      </c>
      <c r="C64" t="s">
        <v>142</v>
      </c>
      <c r="D64">
        <v>450</v>
      </c>
      <c r="E64">
        <v>130</v>
      </c>
      <c r="F64">
        <v>15</v>
      </c>
      <c r="G64">
        <v>23</v>
      </c>
      <c r="H64">
        <v>4.5</v>
      </c>
      <c r="I64">
        <v>22</v>
      </c>
      <c r="J64">
        <v>0</v>
      </c>
      <c r="K64">
        <v>90</v>
      </c>
      <c r="L64">
        <v>30</v>
      </c>
      <c r="M64">
        <v>1230</v>
      </c>
      <c r="N64">
        <v>51</v>
      </c>
      <c r="O64">
        <v>43</v>
      </c>
      <c r="P64">
        <v>14</v>
      </c>
      <c r="Q64">
        <v>3</v>
      </c>
      <c r="R64">
        <v>13</v>
      </c>
      <c r="S64">
        <v>9</v>
      </c>
      <c r="T64">
        <v>36</v>
      </c>
      <c r="U64">
        <v>4</v>
      </c>
      <c r="V64">
        <v>20</v>
      </c>
      <c r="W64">
        <v>15</v>
      </c>
      <c r="X64">
        <v>20</v>
      </c>
    </row>
    <row r="65" spans="1:24" x14ac:dyDescent="0.3">
      <c r="A65" t="s">
        <v>131</v>
      </c>
      <c r="B65" t="s">
        <v>143</v>
      </c>
      <c r="C65" t="s">
        <v>144</v>
      </c>
      <c r="D65">
        <v>750</v>
      </c>
      <c r="E65">
        <v>340</v>
      </c>
      <c r="F65">
        <v>38</v>
      </c>
      <c r="G65">
        <v>59</v>
      </c>
      <c r="H65">
        <v>10</v>
      </c>
      <c r="I65">
        <v>51</v>
      </c>
      <c r="J65">
        <v>0.5</v>
      </c>
      <c r="K65">
        <v>90</v>
      </c>
      <c r="L65">
        <v>31</v>
      </c>
      <c r="M65">
        <v>1720</v>
      </c>
      <c r="N65">
        <v>72</v>
      </c>
      <c r="O65">
        <v>65</v>
      </c>
      <c r="P65">
        <v>22</v>
      </c>
      <c r="Q65">
        <v>4</v>
      </c>
      <c r="R65">
        <v>15</v>
      </c>
      <c r="S65">
        <v>16</v>
      </c>
      <c r="T65">
        <v>36</v>
      </c>
      <c r="U65">
        <v>8</v>
      </c>
      <c r="V65">
        <v>25</v>
      </c>
      <c r="W65">
        <v>30</v>
      </c>
      <c r="X65">
        <v>15</v>
      </c>
    </row>
    <row r="66" spans="1:24" x14ac:dyDescent="0.3">
      <c r="A66" t="s">
        <v>131</v>
      </c>
      <c r="B66" t="s">
        <v>145</v>
      </c>
      <c r="C66" t="s">
        <v>121</v>
      </c>
      <c r="D66">
        <v>590</v>
      </c>
      <c r="E66">
        <v>230</v>
      </c>
      <c r="F66">
        <v>25</v>
      </c>
      <c r="G66">
        <v>39</v>
      </c>
      <c r="H66">
        <v>8</v>
      </c>
      <c r="I66">
        <v>42</v>
      </c>
      <c r="J66">
        <v>0</v>
      </c>
      <c r="K66">
        <v>110</v>
      </c>
      <c r="L66">
        <v>37</v>
      </c>
      <c r="M66">
        <v>1560</v>
      </c>
      <c r="N66">
        <v>65</v>
      </c>
      <c r="O66">
        <v>51</v>
      </c>
      <c r="P66">
        <v>17</v>
      </c>
      <c r="Q66">
        <v>4</v>
      </c>
      <c r="R66">
        <v>15</v>
      </c>
      <c r="S66">
        <v>14</v>
      </c>
      <c r="T66">
        <v>40</v>
      </c>
      <c r="U66">
        <v>8</v>
      </c>
      <c r="V66">
        <v>30</v>
      </c>
      <c r="W66">
        <v>30</v>
      </c>
      <c r="X66">
        <v>15</v>
      </c>
    </row>
    <row r="67" spans="1:24" x14ac:dyDescent="0.3">
      <c r="A67" t="s">
        <v>131</v>
      </c>
      <c r="B67" t="s">
        <v>146</v>
      </c>
      <c r="C67" t="s">
        <v>147</v>
      </c>
      <c r="D67">
        <v>430</v>
      </c>
      <c r="E67">
        <v>170</v>
      </c>
      <c r="F67">
        <v>19</v>
      </c>
      <c r="G67">
        <v>29</v>
      </c>
      <c r="H67">
        <v>3</v>
      </c>
      <c r="I67">
        <v>15</v>
      </c>
      <c r="J67">
        <v>0</v>
      </c>
      <c r="K67">
        <v>45</v>
      </c>
      <c r="L67">
        <v>14</v>
      </c>
      <c r="M67">
        <v>910</v>
      </c>
      <c r="N67">
        <v>38</v>
      </c>
      <c r="O67">
        <v>43</v>
      </c>
      <c r="P67">
        <v>14</v>
      </c>
      <c r="Q67">
        <v>2</v>
      </c>
      <c r="R67">
        <v>7</v>
      </c>
      <c r="S67">
        <v>7</v>
      </c>
      <c r="T67">
        <v>21</v>
      </c>
      <c r="U67">
        <v>4</v>
      </c>
      <c r="V67">
        <v>2</v>
      </c>
      <c r="W67">
        <v>15</v>
      </c>
      <c r="X67">
        <v>15</v>
      </c>
    </row>
    <row r="68" spans="1:24" x14ac:dyDescent="0.3">
      <c r="A68" t="s">
        <v>131</v>
      </c>
      <c r="B68" t="s">
        <v>148</v>
      </c>
      <c r="C68" t="s">
        <v>149</v>
      </c>
      <c r="D68">
        <v>360</v>
      </c>
      <c r="E68">
        <v>140</v>
      </c>
      <c r="F68">
        <v>16</v>
      </c>
      <c r="G68">
        <v>25</v>
      </c>
      <c r="H68">
        <v>3</v>
      </c>
      <c r="I68">
        <v>15</v>
      </c>
      <c r="J68">
        <v>0</v>
      </c>
      <c r="K68">
        <v>35</v>
      </c>
      <c r="L68">
        <v>11</v>
      </c>
      <c r="M68">
        <v>800</v>
      </c>
      <c r="N68">
        <v>33</v>
      </c>
      <c r="O68">
        <v>40</v>
      </c>
      <c r="P68">
        <v>13</v>
      </c>
      <c r="Q68">
        <v>2</v>
      </c>
      <c r="R68">
        <v>7</v>
      </c>
      <c r="S68">
        <v>5</v>
      </c>
      <c r="T68">
        <v>14</v>
      </c>
      <c r="U68">
        <v>0</v>
      </c>
      <c r="V68">
        <v>2</v>
      </c>
      <c r="W68">
        <v>10</v>
      </c>
      <c r="X68">
        <v>15</v>
      </c>
    </row>
    <row r="69" spans="1:24" x14ac:dyDescent="0.3">
      <c r="A69" t="s">
        <v>131</v>
      </c>
      <c r="B69" t="s">
        <v>150</v>
      </c>
      <c r="C69" t="s">
        <v>151</v>
      </c>
      <c r="D69">
        <v>480</v>
      </c>
      <c r="E69">
        <v>220</v>
      </c>
      <c r="F69">
        <v>24</v>
      </c>
      <c r="G69">
        <v>38</v>
      </c>
      <c r="H69">
        <v>7</v>
      </c>
      <c r="I69">
        <v>35</v>
      </c>
      <c r="J69">
        <v>0</v>
      </c>
      <c r="K69">
        <v>65</v>
      </c>
      <c r="L69">
        <v>21</v>
      </c>
      <c r="M69">
        <v>1260</v>
      </c>
      <c r="N69">
        <v>53</v>
      </c>
      <c r="O69">
        <v>43</v>
      </c>
      <c r="P69">
        <v>14</v>
      </c>
      <c r="Q69">
        <v>2</v>
      </c>
      <c r="R69">
        <v>8</v>
      </c>
      <c r="S69">
        <v>6</v>
      </c>
      <c r="T69">
        <v>22</v>
      </c>
      <c r="U69">
        <v>4</v>
      </c>
      <c r="V69">
        <v>10</v>
      </c>
      <c r="W69">
        <v>20</v>
      </c>
      <c r="X69">
        <v>15</v>
      </c>
    </row>
    <row r="70" spans="1:24" x14ac:dyDescent="0.3">
      <c r="A70" t="s">
        <v>131</v>
      </c>
      <c r="B70" t="s">
        <v>152</v>
      </c>
      <c r="C70" t="s">
        <v>32</v>
      </c>
      <c r="D70">
        <v>430</v>
      </c>
      <c r="E70">
        <v>190</v>
      </c>
      <c r="F70">
        <v>21</v>
      </c>
      <c r="G70">
        <v>32</v>
      </c>
      <c r="H70">
        <v>5</v>
      </c>
      <c r="I70">
        <v>25</v>
      </c>
      <c r="J70">
        <v>0</v>
      </c>
      <c r="K70">
        <v>50</v>
      </c>
      <c r="L70">
        <v>17</v>
      </c>
      <c r="M70">
        <v>1260</v>
      </c>
      <c r="N70">
        <v>53</v>
      </c>
      <c r="O70">
        <v>41</v>
      </c>
      <c r="P70">
        <v>14</v>
      </c>
      <c r="Q70">
        <v>2</v>
      </c>
      <c r="R70">
        <v>7</v>
      </c>
      <c r="S70">
        <v>6</v>
      </c>
      <c r="T70">
        <v>20</v>
      </c>
      <c r="U70">
        <v>2</v>
      </c>
      <c r="V70">
        <v>10</v>
      </c>
      <c r="W70">
        <v>15</v>
      </c>
      <c r="X70">
        <v>15</v>
      </c>
    </row>
    <row r="71" spans="1:24" x14ac:dyDescent="0.3">
      <c r="A71" t="s">
        <v>131</v>
      </c>
      <c r="B71" t="s">
        <v>153</v>
      </c>
      <c r="C71" t="s">
        <v>154</v>
      </c>
      <c r="D71">
        <v>360</v>
      </c>
      <c r="E71">
        <v>150</v>
      </c>
      <c r="F71">
        <v>16</v>
      </c>
      <c r="G71">
        <v>25</v>
      </c>
      <c r="H71">
        <v>3</v>
      </c>
      <c r="I71">
        <v>16</v>
      </c>
      <c r="J71">
        <v>0</v>
      </c>
      <c r="K71">
        <v>35</v>
      </c>
      <c r="L71">
        <v>11</v>
      </c>
      <c r="M71">
        <v>990</v>
      </c>
      <c r="N71">
        <v>41</v>
      </c>
      <c r="O71">
        <v>40</v>
      </c>
      <c r="P71">
        <v>13</v>
      </c>
      <c r="Q71">
        <v>2</v>
      </c>
      <c r="R71">
        <v>7</v>
      </c>
      <c r="S71">
        <v>5</v>
      </c>
      <c r="T71">
        <v>14</v>
      </c>
      <c r="U71">
        <v>2</v>
      </c>
      <c r="V71">
        <v>2</v>
      </c>
      <c r="W71">
        <v>15</v>
      </c>
      <c r="X71">
        <v>15</v>
      </c>
    </row>
    <row r="72" spans="1:24" x14ac:dyDescent="0.3">
      <c r="A72" t="s">
        <v>131</v>
      </c>
      <c r="B72" t="s">
        <v>155</v>
      </c>
      <c r="C72" t="s">
        <v>156</v>
      </c>
      <c r="D72">
        <v>630</v>
      </c>
      <c r="E72">
        <v>280</v>
      </c>
      <c r="F72">
        <v>32</v>
      </c>
      <c r="G72">
        <v>49</v>
      </c>
      <c r="H72">
        <v>9</v>
      </c>
      <c r="I72">
        <v>45</v>
      </c>
      <c r="J72">
        <v>0.5</v>
      </c>
      <c r="K72">
        <v>80</v>
      </c>
      <c r="L72">
        <v>26</v>
      </c>
      <c r="M72">
        <v>1540</v>
      </c>
      <c r="N72">
        <v>64</v>
      </c>
      <c r="O72">
        <v>56</v>
      </c>
      <c r="P72">
        <v>19</v>
      </c>
      <c r="Q72">
        <v>3</v>
      </c>
      <c r="R72">
        <v>13</v>
      </c>
      <c r="S72">
        <v>7</v>
      </c>
      <c r="T72">
        <v>32</v>
      </c>
      <c r="U72">
        <v>60</v>
      </c>
      <c r="V72">
        <v>20</v>
      </c>
      <c r="W72">
        <v>20</v>
      </c>
      <c r="X72">
        <v>20</v>
      </c>
    </row>
    <row r="73" spans="1:24" x14ac:dyDescent="0.3">
      <c r="A73" t="s">
        <v>131</v>
      </c>
      <c r="B73" t="s">
        <v>157</v>
      </c>
      <c r="C73" t="s">
        <v>158</v>
      </c>
      <c r="D73">
        <v>480</v>
      </c>
      <c r="E73">
        <v>170</v>
      </c>
      <c r="F73">
        <v>19</v>
      </c>
      <c r="G73">
        <v>28</v>
      </c>
      <c r="H73">
        <v>7</v>
      </c>
      <c r="I73">
        <v>36</v>
      </c>
      <c r="J73">
        <v>0</v>
      </c>
      <c r="K73">
        <v>95</v>
      </c>
      <c r="L73">
        <v>32</v>
      </c>
      <c r="M73">
        <v>1370</v>
      </c>
      <c r="N73">
        <v>57</v>
      </c>
      <c r="O73">
        <v>42</v>
      </c>
      <c r="P73">
        <v>14</v>
      </c>
      <c r="Q73">
        <v>3</v>
      </c>
      <c r="R73">
        <v>13</v>
      </c>
      <c r="S73">
        <v>6</v>
      </c>
      <c r="T73">
        <v>36</v>
      </c>
      <c r="U73">
        <v>60</v>
      </c>
      <c r="V73">
        <v>25</v>
      </c>
      <c r="W73">
        <v>20</v>
      </c>
      <c r="X73">
        <v>20</v>
      </c>
    </row>
    <row r="74" spans="1:24" x14ac:dyDescent="0.3">
      <c r="A74" t="s">
        <v>131</v>
      </c>
      <c r="B74" t="s">
        <v>159</v>
      </c>
      <c r="C74" t="s">
        <v>160</v>
      </c>
      <c r="D74">
        <v>610</v>
      </c>
      <c r="E74">
        <v>280</v>
      </c>
      <c r="F74">
        <v>31</v>
      </c>
      <c r="G74">
        <v>47</v>
      </c>
      <c r="H74">
        <v>8</v>
      </c>
      <c r="I74">
        <v>40</v>
      </c>
      <c r="J74">
        <v>0.5</v>
      </c>
      <c r="K74">
        <v>65</v>
      </c>
      <c r="L74">
        <v>21</v>
      </c>
      <c r="M74">
        <v>1340</v>
      </c>
      <c r="N74">
        <v>56</v>
      </c>
      <c r="O74">
        <v>56</v>
      </c>
      <c r="P74">
        <v>19</v>
      </c>
      <c r="Q74">
        <v>3</v>
      </c>
      <c r="R74">
        <v>14</v>
      </c>
      <c r="S74">
        <v>8</v>
      </c>
      <c r="T74">
        <v>27</v>
      </c>
      <c r="U74">
        <v>60</v>
      </c>
      <c r="V74">
        <v>15</v>
      </c>
      <c r="W74">
        <v>20</v>
      </c>
      <c r="X74">
        <v>20</v>
      </c>
    </row>
    <row r="75" spans="1:24" x14ac:dyDescent="0.3">
      <c r="A75" t="s">
        <v>131</v>
      </c>
      <c r="B75" t="s">
        <v>161</v>
      </c>
      <c r="C75" t="s">
        <v>162</v>
      </c>
      <c r="D75">
        <v>450</v>
      </c>
      <c r="E75">
        <v>160</v>
      </c>
      <c r="F75">
        <v>18</v>
      </c>
      <c r="G75">
        <v>27</v>
      </c>
      <c r="H75">
        <v>6</v>
      </c>
      <c r="I75">
        <v>31</v>
      </c>
      <c r="J75">
        <v>0.5</v>
      </c>
      <c r="K75">
        <v>80</v>
      </c>
      <c r="L75">
        <v>27</v>
      </c>
      <c r="M75">
        <v>1170</v>
      </c>
      <c r="N75">
        <v>49</v>
      </c>
      <c r="O75">
        <v>42</v>
      </c>
      <c r="P75">
        <v>14</v>
      </c>
      <c r="Q75">
        <v>3</v>
      </c>
      <c r="R75">
        <v>14</v>
      </c>
      <c r="S75">
        <v>6</v>
      </c>
      <c r="T75">
        <v>30</v>
      </c>
      <c r="U75">
        <v>60</v>
      </c>
      <c r="V75">
        <v>15</v>
      </c>
      <c r="W75">
        <v>15</v>
      </c>
      <c r="X75">
        <v>20</v>
      </c>
    </row>
    <row r="76" spans="1:24" x14ac:dyDescent="0.3">
      <c r="A76" t="s">
        <v>131</v>
      </c>
      <c r="B76" t="s">
        <v>163</v>
      </c>
      <c r="C76" t="s">
        <v>164</v>
      </c>
      <c r="D76">
        <v>670</v>
      </c>
      <c r="E76">
        <v>300</v>
      </c>
      <c r="F76">
        <v>33</v>
      </c>
      <c r="G76">
        <v>51</v>
      </c>
      <c r="H76">
        <v>8</v>
      </c>
      <c r="I76">
        <v>40</v>
      </c>
      <c r="J76">
        <v>0.5</v>
      </c>
      <c r="K76">
        <v>60</v>
      </c>
      <c r="L76">
        <v>21</v>
      </c>
      <c r="M76">
        <v>1480</v>
      </c>
      <c r="N76">
        <v>62</v>
      </c>
      <c r="O76">
        <v>68</v>
      </c>
      <c r="P76">
        <v>23</v>
      </c>
      <c r="Q76">
        <v>5</v>
      </c>
      <c r="R76">
        <v>19</v>
      </c>
      <c r="S76">
        <v>12</v>
      </c>
      <c r="T76">
        <v>27</v>
      </c>
      <c r="U76">
        <v>60</v>
      </c>
      <c r="V76">
        <v>15</v>
      </c>
      <c r="W76">
        <v>20</v>
      </c>
      <c r="X76">
        <v>20</v>
      </c>
    </row>
    <row r="77" spans="1:24" x14ac:dyDescent="0.3">
      <c r="A77" t="s">
        <v>131</v>
      </c>
      <c r="B77" t="s">
        <v>165</v>
      </c>
      <c r="C77" t="s">
        <v>166</v>
      </c>
      <c r="D77">
        <v>520</v>
      </c>
      <c r="E77">
        <v>180</v>
      </c>
      <c r="F77">
        <v>20</v>
      </c>
      <c r="G77">
        <v>31</v>
      </c>
      <c r="H77">
        <v>6</v>
      </c>
      <c r="I77">
        <v>32</v>
      </c>
      <c r="J77">
        <v>0</v>
      </c>
      <c r="K77">
        <v>80</v>
      </c>
      <c r="L77">
        <v>27</v>
      </c>
      <c r="M77">
        <v>1320</v>
      </c>
      <c r="N77">
        <v>55</v>
      </c>
      <c r="O77">
        <v>55</v>
      </c>
      <c r="P77">
        <v>18</v>
      </c>
      <c r="Q77">
        <v>5</v>
      </c>
      <c r="R77">
        <v>20</v>
      </c>
      <c r="S77">
        <v>10</v>
      </c>
      <c r="T77">
        <v>31</v>
      </c>
      <c r="U77">
        <v>70</v>
      </c>
      <c r="V77">
        <v>15</v>
      </c>
      <c r="W77">
        <v>20</v>
      </c>
      <c r="X77">
        <v>20</v>
      </c>
    </row>
    <row r="78" spans="1:24" x14ac:dyDescent="0.3">
      <c r="A78" t="s">
        <v>131</v>
      </c>
      <c r="B78" t="s">
        <v>167</v>
      </c>
      <c r="C78" t="s">
        <v>168</v>
      </c>
      <c r="D78">
        <v>540</v>
      </c>
      <c r="E78">
        <v>200</v>
      </c>
      <c r="F78">
        <v>23</v>
      </c>
      <c r="G78">
        <v>35</v>
      </c>
      <c r="H78">
        <v>4.5</v>
      </c>
      <c r="I78">
        <v>23</v>
      </c>
      <c r="J78">
        <v>0</v>
      </c>
      <c r="K78">
        <v>50</v>
      </c>
      <c r="L78">
        <v>16</v>
      </c>
      <c r="M78">
        <v>1260</v>
      </c>
      <c r="N78">
        <v>52</v>
      </c>
      <c r="O78">
        <v>61</v>
      </c>
      <c r="P78">
        <v>20</v>
      </c>
      <c r="Q78">
        <v>3</v>
      </c>
      <c r="R78">
        <v>13</v>
      </c>
      <c r="S78">
        <v>14</v>
      </c>
      <c r="T78">
        <v>23</v>
      </c>
      <c r="U78">
        <v>60</v>
      </c>
      <c r="V78">
        <v>15</v>
      </c>
      <c r="W78">
        <v>8</v>
      </c>
      <c r="X78">
        <v>20</v>
      </c>
    </row>
    <row r="79" spans="1:24" x14ac:dyDescent="0.3">
      <c r="A79" t="s">
        <v>131</v>
      </c>
      <c r="B79" t="s">
        <v>169</v>
      </c>
      <c r="C79" t="s">
        <v>170</v>
      </c>
      <c r="D79">
        <v>380</v>
      </c>
      <c r="E79">
        <v>90</v>
      </c>
      <c r="F79">
        <v>10</v>
      </c>
      <c r="G79">
        <v>15</v>
      </c>
      <c r="H79">
        <v>3</v>
      </c>
      <c r="I79">
        <v>14</v>
      </c>
      <c r="J79">
        <v>0</v>
      </c>
      <c r="K79">
        <v>65</v>
      </c>
      <c r="L79">
        <v>22</v>
      </c>
      <c r="M79">
        <v>1090</v>
      </c>
      <c r="N79">
        <v>45</v>
      </c>
      <c r="O79">
        <v>47</v>
      </c>
      <c r="P79">
        <v>16</v>
      </c>
      <c r="Q79">
        <v>3</v>
      </c>
      <c r="R79">
        <v>13</v>
      </c>
      <c r="S79">
        <v>12</v>
      </c>
      <c r="T79">
        <v>27</v>
      </c>
      <c r="U79">
        <v>60</v>
      </c>
      <c r="V79">
        <v>15</v>
      </c>
      <c r="W79">
        <v>8</v>
      </c>
      <c r="X79">
        <v>20</v>
      </c>
    </row>
    <row r="80" spans="1:24" x14ac:dyDescent="0.3">
      <c r="A80" t="s">
        <v>131</v>
      </c>
      <c r="B80" t="s">
        <v>171</v>
      </c>
      <c r="C80" t="s">
        <v>172</v>
      </c>
      <c r="D80">
        <v>190</v>
      </c>
      <c r="E80">
        <v>110</v>
      </c>
      <c r="F80">
        <v>12</v>
      </c>
      <c r="G80">
        <v>18</v>
      </c>
      <c r="H80">
        <v>2</v>
      </c>
      <c r="I80">
        <v>10</v>
      </c>
      <c r="J80">
        <v>0</v>
      </c>
      <c r="K80">
        <v>25</v>
      </c>
      <c r="L80">
        <v>9</v>
      </c>
      <c r="M80">
        <v>360</v>
      </c>
      <c r="N80">
        <v>15</v>
      </c>
      <c r="O80">
        <v>12</v>
      </c>
      <c r="P80">
        <v>4</v>
      </c>
      <c r="Q80">
        <v>1</v>
      </c>
      <c r="R80">
        <v>2</v>
      </c>
      <c r="S80">
        <v>0</v>
      </c>
      <c r="T80">
        <v>9</v>
      </c>
      <c r="U80">
        <v>0</v>
      </c>
      <c r="V80">
        <v>2</v>
      </c>
      <c r="W80">
        <v>0</v>
      </c>
      <c r="X80">
        <v>2</v>
      </c>
    </row>
    <row r="81" spans="1:24" x14ac:dyDescent="0.3">
      <c r="A81" t="s">
        <v>131</v>
      </c>
      <c r="B81" t="s">
        <v>173</v>
      </c>
      <c r="C81" t="s">
        <v>174</v>
      </c>
      <c r="D81">
        <v>280</v>
      </c>
      <c r="E81">
        <v>160</v>
      </c>
      <c r="F81">
        <v>18</v>
      </c>
      <c r="G81">
        <v>27</v>
      </c>
      <c r="H81">
        <v>3</v>
      </c>
      <c r="I81">
        <v>15</v>
      </c>
      <c r="J81">
        <v>0</v>
      </c>
      <c r="K81">
        <v>40</v>
      </c>
      <c r="L81">
        <v>13</v>
      </c>
      <c r="M81">
        <v>540</v>
      </c>
      <c r="N81">
        <v>22</v>
      </c>
      <c r="O81">
        <v>18</v>
      </c>
      <c r="P81">
        <v>6</v>
      </c>
      <c r="Q81">
        <v>1</v>
      </c>
      <c r="R81">
        <v>4</v>
      </c>
      <c r="S81">
        <v>0</v>
      </c>
      <c r="T81">
        <v>13</v>
      </c>
      <c r="U81">
        <v>0</v>
      </c>
      <c r="V81">
        <v>2</v>
      </c>
      <c r="W81">
        <v>2</v>
      </c>
      <c r="X81">
        <v>4</v>
      </c>
    </row>
    <row r="82" spans="1:24" x14ac:dyDescent="0.3">
      <c r="A82" t="s">
        <v>131</v>
      </c>
      <c r="B82" t="s">
        <v>175</v>
      </c>
      <c r="C82" t="s">
        <v>176</v>
      </c>
      <c r="D82">
        <v>470</v>
      </c>
      <c r="E82">
        <v>270</v>
      </c>
      <c r="F82">
        <v>30</v>
      </c>
      <c r="G82">
        <v>45</v>
      </c>
      <c r="H82">
        <v>5</v>
      </c>
      <c r="I82">
        <v>25</v>
      </c>
      <c r="J82">
        <v>0</v>
      </c>
      <c r="K82">
        <v>65</v>
      </c>
      <c r="L82">
        <v>22</v>
      </c>
      <c r="M82">
        <v>900</v>
      </c>
      <c r="N82">
        <v>37</v>
      </c>
      <c r="O82">
        <v>30</v>
      </c>
      <c r="P82">
        <v>10</v>
      </c>
      <c r="Q82">
        <v>2</v>
      </c>
      <c r="R82">
        <v>6</v>
      </c>
      <c r="S82">
        <v>0</v>
      </c>
      <c r="T82">
        <v>22</v>
      </c>
      <c r="U82">
        <v>0</v>
      </c>
      <c r="V82">
        <v>4</v>
      </c>
      <c r="W82">
        <v>2</v>
      </c>
      <c r="X82">
        <v>6</v>
      </c>
    </row>
    <row r="83" spans="1:24" x14ac:dyDescent="0.3">
      <c r="A83" t="s">
        <v>131</v>
      </c>
      <c r="B83" t="s">
        <v>177</v>
      </c>
      <c r="C83" t="s">
        <v>178</v>
      </c>
      <c r="D83">
        <v>940</v>
      </c>
      <c r="E83">
        <v>530</v>
      </c>
      <c r="F83">
        <v>59</v>
      </c>
      <c r="G83">
        <v>91</v>
      </c>
      <c r="H83">
        <v>10</v>
      </c>
      <c r="I83">
        <v>50</v>
      </c>
      <c r="J83">
        <v>0</v>
      </c>
      <c r="K83">
        <v>135</v>
      </c>
      <c r="L83">
        <v>44</v>
      </c>
      <c r="M83">
        <v>1800</v>
      </c>
      <c r="N83">
        <v>75</v>
      </c>
      <c r="O83">
        <v>59</v>
      </c>
      <c r="P83">
        <v>20</v>
      </c>
      <c r="Q83">
        <v>3</v>
      </c>
      <c r="R83">
        <v>12</v>
      </c>
      <c r="S83">
        <v>0</v>
      </c>
      <c r="T83">
        <v>44</v>
      </c>
      <c r="U83">
        <v>0</v>
      </c>
      <c r="V83">
        <v>8</v>
      </c>
      <c r="W83">
        <v>4</v>
      </c>
      <c r="X83">
        <v>10</v>
      </c>
    </row>
    <row r="84" spans="1:24" x14ac:dyDescent="0.3">
      <c r="A84" t="s">
        <v>131</v>
      </c>
      <c r="B84" t="s">
        <v>179</v>
      </c>
      <c r="C84" t="s">
        <v>180</v>
      </c>
      <c r="D84">
        <v>1880</v>
      </c>
      <c r="E84">
        <v>1060</v>
      </c>
      <c r="F84">
        <v>118</v>
      </c>
      <c r="G84">
        <v>182</v>
      </c>
      <c r="H84">
        <v>20</v>
      </c>
      <c r="I84">
        <v>101</v>
      </c>
      <c r="J84">
        <v>1</v>
      </c>
      <c r="K84">
        <v>265</v>
      </c>
      <c r="L84">
        <v>89</v>
      </c>
      <c r="M84">
        <v>3600</v>
      </c>
      <c r="N84">
        <v>150</v>
      </c>
      <c r="O84">
        <v>118</v>
      </c>
      <c r="P84">
        <v>39</v>
      </c>
      <c r="Q84">
        <v>6</v>
      </c>
      <c r="R84">
        <v>24</v>
      </c>
      <c r="S84">
        <v>1</v>
      </c>
      <c r="T84">
        <v>87</v>
      </c>
      <c r="U84">
        <v>0</v>
      </c>
      <c r="V84">
        <v>15</v>
      </c>
      <c r="W84">
        <v>8</v>
      </c>
      <c r="X84">
        <v>25</v>
      </c>
    </row>
    <row r="85" spans="1:24" x14ac:dyDescent="0.3">
      <c r="A85" t="s">
        <v>131</v>
      </c>
      <c r="B85" t="s">
        <v>181</v>
      </c>
      <c r="C85" t="s">
        <v>182</v>
      </c>
      <c r="D85">
        <v>390</v>
      </c>
      <c r="E85">
        <v>170</v>
      </c>
      <c r="F85">
        <v>19</v>
      </c>
      <c r="G85">
        <v>29</v>
      </c>
      <c r="H85">
        <v>4</v>
      </c>
      <c r="I85">
        <v>19</v>
      </c>
      <c r="J85">
        <v>0</v>
      </c>
      <c r="K85">
        <v>40</v>
      </c>
      <c r="L85">
        <v>14</v>
      </c>
      <c r="M85">
        <v>590</v>
      </c>
      <c r="N85">
        <v>24</v>
      </c>
      <c r="O85">
        <v>39</v>
      </c>
      <c r="P85">
        <v>13</v>
      </c>
      <c r="Q85">
        <v>2</v>
      </c>
      <c r="R85">
        <v>7</v>
      </c>
      <c r="S85">
        <v>5</v>
      </c>
      <c r="T85">
        <v>15</v>
      </c>
      <c r="U85">
        <v>2</v>
      </c>
      <c r="V85">
        <v>0</v>
      </c>
      <c r="W85">
        <v>15</v>
      </c>
      <c r="X85">
        <v>10</v>
      </c>
    </row>
    <row r="86" spans="1:24" x14ac:dyDescent="0.3">
      <c r="A86" t="s">
        <v>183</v>
      </c>
      <c r="B86" t="s">
        <v>184</v>
      </c>
      <c r="C86" t="s">
        <v>185</v>
      </c>
      <c r="D86">
        <v>140</v>
      </c>
      <c r="E86">
        <v>70</v>
      </c>
      <c r="F86">
        <v>7</v>
      </c>
      <c r="G86">
        <v>11</v>
      </c>
      <c r="H86">
        <v>3.5</v>
      </c>
      <c r="I86">
        <v>18</v>
      </c>
      <c r="J86">
        <v>0</v>
      </c>
      <c r="K86">
        <v>25</v>
      </c>
      <c r="L86">
        <v>9</v>
      </c>
      <c r="M86">
        <v>300</v>
      </c>
      <c r="N86">
        <v>13</v>
      </c>
      <c r="O86">
        <v>10</v>
      </c>
      <c r="P86">
        <v>3</v>
      </c>
      <c r="Q86">
        <v>3</v>
      </c>
      <c r="R86">
        <v>12</v>
      </c>
      <c r="S86">
        <v>4</v>
      </c>
      <c r="T86">
        <v>9</v>
      </c>
      <c r="U86">
        <v>170</v>
      </c>
      <c r="V86">
        <v>30</v>
      </c>
      <c r="W86">
        <v>15</v>
      </c>
      <c r="X86">
        <v>6</v>
      </c>
    </row>
    <row r="87" spans="1:24" x14ac:dyDescent="0.3">
      <c r="A87" t="s">
        <v>183</v>
      </c>
      <c r="B87" t="s">
        <v>186</v>
      </c>
      <c r="C87" t="s">
        <v>187</v>
      </c>
      <c r="D87">
        <v>380</v>
      </c>
      <c r="E87">
        <v>190</v>
      </c>
      <c r="F87">
        <v>21</v>
      </c>
      <c r="G87">
        <v>33</v>
      </c>
      <c r="H87">
        <v>6</v>
      </c>
      <c r="I87">
        <v>29</v>
      </c>
      <c r="J87">
        <v>0</v>
      </c>
      <c r="K87">
        <v>70</v>
      </c>
      <c r="L87">
        <v>23</v>
      </c>
      <c r="M87">
        <v>860</v>
      </c>
      <c r="N87">
        <v>36</v>
      </c>
      <c r="O87">
        <v>22</v>
      </c>
      <c r="P87">
        <v>7</v>
      </c>
      <c r="Q87">
        <v>2</v>
      </c>
      <c r="R87">
        <v>10</v>
      </c>
      <c r="S87">
        <v>5</v>
      </c>
      <c r="T87">
        <v>25</v>
      </c>
      <c r="U87">
        <v>100</v>
      </c>
      <c r="V87">
        <v>25</v>
      </c>
      <c r="W87">
        <v>15</v>
      </c>
      <c r="X87">
        <v>8</v>
      </c>
    </row>
    <row r="88" spans="1:24" x14ac:dyDescent="0.3">
      <c r="A88" t="s">
        <v>183</v>
      </c>
      <c r="B88" t="s">
        <v>188</v>
      </c>
      <c r="C88" t="s">
        <v>74</v>
      </c>
      <c r="D88">
        <v>220</v>
      </c>
      <c r="E88">
        <v>80</v>
      </c>
      <c r="F88">
        <v>8</v>
      </c>
      <c r="G88">
        <v>13</v>
      </c>
      <c r="H88">
        <v>4</v>
      </c>
      <c r="I88">
        <v>20</v>
      </c>
      <c r="J88">
        <v>0</v>
      </c>
      <c r="K88">
        <v>85</v>
      </c>
      <c r="L88">
        <v>29</v>
      </c>
      <c r="M88">
        <v>690</v>
      </c>
      <c r="N88">
        <v>29</v>
      </c>
      <c r="O88">
        <v>8</v>
      </c>
      <c r="P88">
        <v>3</v>
      </c>
      <c r="Q88">
        <v>2</v>
      </c>
      <c r="R88">
        <v>10</v>
      </c>
      <c r="S88">
        <v>4</v>
      </c>
      <c r="T88">
        <v>29</v>
      </c>
      <c r="U88">
        <v>110</v>
      </c>
      <c r="V88">
        <v>30</v>
      </c>
      <c r="W88">
        <v>15</v>
      </c>
      <c r="X88">
        <v>8</v>
      </c>
    </row>
    <row r="89" spans="1:24" x14ac:dyDescent="0.3">
      <c r="A89" t="s">
        <v>183</v>
      </c>
      <c r="B89" t="s">
        <v>189</v>
      </c>
      <c r="C89" t="s">
        <v>140</v>
      </c>
      <c r="D89">
        <v>140</v>
      </c>
      <c r="E89">
        <v>40</v>
      </c>
      <c r="F89">
        <v>4.5</v>
      </c>
      <c r="G89">
        <v>7</v>
      </c>
      <c r="H89">
        <v>2</v>
      </c>
      <c r="I89">
        <v>9</v>
      </c>
      <c r="J89">
        <v>0</v>
      </c>
      <c r="K89">
        <v>10</v>
      </c>
      <c r="L89">
        <v>3</v>
      </c>
      <c r="M89">
        <v>150</v>
      </c>
      <c r="N89">
        <v>6</v>
      </c>
      <c r="O89">
        <v>20</v>
      </c>
      <c r="P89">
        <v>7</v>
      </c>
      <c r="Q89">
        <v>6</v>
      </c>
      <c r="R89">
        <v>23</v>
      </c>
      <c r="S89">
        <v>6</v>
      </c>
      <c r="T89">
        <v>6</v>
      </c>
      <c r="U89">
        <v>160</v>
      </c>
      <c r="V89">
        <v>25</v>
      </c>
      <c r="W89">
        <v>15</v>
      </c>
      <c r="X89">
        <v>10</v>
      </c>
    </row>
    <row r="90" spans="1:24" x14ac:dyDescent="0.3">
      <c r="A90" t="s">
        <v>183</v>
      </c>
      <c r="B90" t="s">
        <v>190</v>
      </c>
      <c r="C90" t="s">
        <v>191</v>
      </c>
      <c r="D90">
        <v>450</v>
      </c>
      <c r="E90">
        <v>190</v>
      </c>
      <c r="F90">
        <v>22</v>
      </c>
      <c r="G90">
        <v>33</v>
      </c>
      <c r="H90">
        <v>4.5</v>
      </c>
      <c r="I90">
        <v>22</v>
      </c>
      <c r="J90">
        <v>0</v>
      </c>
      <c r="K90">
        <v>50</v>
      </c>
      <c r="L90">
        <v>17</v>
      </c>
      <c r="M90">
        <v>850</v>
      </c>
      <c r="N90">
        <v>35</v>
      </c>
      <c r="O90">
        <v>42</v>
      </c>
      <c r="P90">
        <v>14</v>
      </c>
      <c r="Q90">
        <v>7</v>
      </c>
      <c r="R90">
        <v>28</v>
      </c>
      <c r="S90">
        <v>12</v>
      </c>
      <c r="T90">
        <v>23</v>
      </c>
      <c r="U90">
        <v>170</v>
      </c>
      <c r="V90">
        <v>30</v>
      </c>
      <c r="W90">
        <v>15</v>
      </c>
      <c r="X90">
        <v>15</v>
      </c>
    </row>
    <row r="91" spans="1:24" x14ac:dyDescent="0.3">
      <c r="A91" t="s">
        <v>183</v>
      </c>
      <c r="B91" t="s">
        <v>192</v>
      </c>
      <c r="C91" t="s">
        <v>193</v>
      </c>
      <c r="D91">
        <v>290</v>
      </c>
      <c r="E91">
        <v>80</v>
      </c>
      <c r="F91">
        <v>8</v>
      </c>
      <c r="G91">
        <v>13</v>
      </c>
      <c r="H91">
        <v>2.5</v>
      </c>
      <c r="I91">
        <v>13</v>
      </c>
      <c r="J91">
        <v>0</v>
      </c>
      <c r="K91">
        <v>70</v>
      </c>
      <c r="L91">
        <v>23</v>
      </c>
      <c r="M91">
        <v>680</v>
      </c>
      <c r="N91">
        <v>28</v>
      </c>
      <c r="O91">
        <v>28</v>
      </c>
      <c r="P91">
        <v>9</v>
      </c>
      <c r="Q91">
        <v>7</v>
      </c>
      <c r="R91">
        <v>28</v>
      </c>
      <c r="S91">
        <v>10</v>
      </c>
      <c r="T91">
        <v>27</v>
      </c>
      <c r="U91">
        <v>170</v>
      </c>
      <c r="V91">
        <v>30</v>
      </c>
      <c r="W91">
        <v>15</v>
      </c>
      <c r="X91">
        <v>15</v>
      </c>
    </row>
    <row r="92" spans="1:24" x14ac:dyDescent="0.3">
      <c r="A92" t="s">
        <v>194</v>
      </c>
      <c r="B92" t="s">
        <v>195</v>
      </c>
      <c r="C92" t="s">
        <v>196</v>
      </c>
      <c r="D92">
        <v>340</v>
      </c>
      <c r="E92">
        <v>130</v>
      </c>
      <c r="F92">
        <v>15</v>
      </c>
      <c r="G92">
        <v>23</v>
      </c>
      <c r="H92">
        <v>4.5</v>
      </c>
      <c r="I92">
        <v>22</v>
      </c>
      <c r="J92">
        <v>0</v>
      </c>
      <c r="K92">
        <v>30</v>
      </c>
      <c r="L92">
        <v>11</v>
      </c>
      <c r="M92">
        <v>780</v>
      </c>
      <c r="N92">
        <v>33</v>
      </c>
      <c r="O92">
        <v>37</v>
      </c>
      <c r="P92">
        <v>12</v>
      </c>
      <c r="Q92">
        <v>1</v>
      </c>
      <c r="R92">
        <v>6</v>
      </c>
      <c r="S92">
        <v>8</v>
      </c>
      <c r="T92">
        <v>14</v>
      </c>
      <c r="U92">
        <v>4</v>
      </c>
      <c r="V92">
        <v>0</v>
      </c>
      <c r="W92">
        <v>10</v>
      </c>
      <c r="X92">
        <v>10</v>
      </c>
    </row>
    <row r="93" spans="1:24" x14ac:dyDescent="0.3">
      <c r="A93" t="s">
        <v>194</v>
      </c>
      <c r="B93" t="s">
        <v>197</v>
      </c>
      <c r="C93" t="s">
        <v>198</v>
      </c>
      <c r="D93">
        <v>260</v>
      </c>
      <c r="E93">
        <v>70</v>
      </c>
      <c r="F93">
        <v>8</v>
      </c>
      <c r="G93">
        <v>13</v>
      </c>
      <c r="H93">
        <v>3.5</v>
      </c>
      <c r="I93">
        <v>18</v>
      </c>
      <c r="J93">
        <v>0</v>
      </c>
      <c r="K93">
        <v>40</v>
      </c>
      <c r="L93">
        <v>14</v>
      </c>
      <c r="M93">
        <v>700</v>
      </c>
      <c r="N93">
        <v>29</v>
      </c>
      <c r="O93">
        <v>30</v>
      </c>
      <c r="P93">
        <v>10</v>
      </c>
      <c r="Q93">
        <v>1</v>
      </c>
      <c r="R93">
        <v>6</v>
      </c>
      <c r="S93">
        <v>7</v>
      </c>
      <c r="T93">
        <v>16</v>
      </c>
      <c r="U93">
        <v>4</v>
      </c>
      <c r="V93">
        <v>2</v>
      </c>
      <c r="W93">
        <v>10</v>
      </c>
      <c r="X93">
        <v>10</v>
      </c>
    </row>
    <row r="94" spans="1:24" x14ac:dyDescent="0.3">
      <c r="A94" t="s">
        <v>194</v>
      </c>
      <c r="B94" t="s">
        <v>199</v>
      </c>
      <c r="C94" t="s">
        <v>198</v>
      </c>
      <c r="D94">
        <v>330</v>
      </c>
      <c r="E94">
        <v>130</v>
      </c>
      <c r="F94">
        <v>15</v>
      </c>
      <c r="G94">
        <v>23</v>
      </c>
      <c r="H94">
        <v>4.5</v>
      </c>
      <c r="I94">
        <v>22</v>
      </c>
      <c r="J94">
        <v>0</v>
      </c>
      <c r="K94">
        <v>35</v>
      </c>
      <c r="L94">
        <v>11</v>
      </c>
      <c r="M94">
        <v>730</v>
      </c>
      <c r="N94">
        <v>30</v>
      </c>
      <c r="O94">
        <v>34</v>
      </c>
      <c r="P94">
        <v>11</v>
      </c>
      <c r="Q94">
        <v>1</v>
      </c>
      <c r="R94">
        <v>5</v>
      </c>
      <c r="S94">
        <v>3</v>
      </c>
      <c r="T94">
        <v>14</v>
      </c>
      <c r="U94">
        <v>2</v>
      </c>
      <c r="V94">
        <v>0</v>
      </c>
      <c r="W94">
        <v>10</v>
      </c>
      <c r="X94">
        <v>10</v>
      </c>
    </row>
    <row r="95" spans="1:24" x14ac:dyDescent="0.3">
      <c r="A95" t="s">
        <v>194</v>
      </c>
      <c r="B95" t="s">
        <v>200</v>
      </c>
      <c r="C95" t="s">
        <v>201</v>
      </c>
      <c r="D95">
        <v>250</v>
      </c>
      <c r="E95">
        <v>70</v>
      </c>
      <c r="F95">
        <v>8</v>
      </c>
      <c r="G95">
        <v>13</v>
      </c>
      <c r="H95">
        <v>3.5</v>
      </c>
      <c r="I95">
        <v>18</v>
      </c>
      <c r="J95">
        <v>0</v>
      </c>
      <c r="K95">
        <v>45</v>
      </c>
      <c r="L95">
        <v>14</v>
      </c>
      <c r="M95">
        <v>650</v>
      </c>
      <c r="N95">
        <v>27</v>
      </c>
      <c r="O95">
        <v>27</v>
      </c>
      <c r="P95">
        <v>9</v>
      </c>
      <c r="Q95">
        <v>1</v>
      </c>
      <c r="R95">
        <v>5</v>
      </c>
      <c r="S95">
        <v>2</v>
      </c>
      <c r="T95">
        <v>16</v>
      </c>
      <c r="U95">
        <v>2</v>
      </c>
      <c r="V95">
        <v>2</v>
      </c>
      <c r="W95">
        <v>10</v>
      </c>
      <c r="X95">
        <v>10</v>
      </c>
    </row>
    <row r="96" spans="1:24" x14ac:dyDescent="0.3">
      <c r="A96" t="s">
        <v>194</v>
      </c>
      <c r="B96" t="s">
        <v>202</v>
      </c>
      <c r="C96" t="s">
        <v>203</v>
      </c>
      <c r="D96">
        <v>360</v>
      </c>
      <c r="E96">
        <v>180</v>
      </c>
      <c r="F96">
        <v>20</v>
      </c>
      <c r="G96">
        <v>30</v>
      </c>
      <c r="H96">
        <v>5</v>
      </c>
      <c r="I96">
        <v>27</v>
      </c>
      <c r="J96">
        <v>0</v>
      </c>
      <c r="K96">
        <v>40</v>
      </c>
      <c r="L96">
        <v>13</v>
      </c>
      <c r="M96">
        <v>810</v>
      </c>
      <c r="N96">
        <v>34</v>
      </c>
      <c r="O96">
        <v>32</v>
      </c>
      <c r="P96">
        <v>11</v>
      </c>
      <c r="Q96">
        <v>1</v>
      </c>
      <c r="R96">
        <v>5</v>
      </c>
      <c r="S96">
        <v>3</v>
      </c>
      <c r="T96">
        <v>15</v>
      </c>
      <c r="U96">
        <v>2</v>
      </c>
      <c r="V96">
        <v>0</v>
      </c>
      <c r="W96">
        <v>10</v>
      </c>
      <c r="X96">
        <v>10</v>
      </c>
    </row>
    <row r="97" spans="1:24" x14ac:dyDescent="0.3">
      <c r="A97" t="s">
        <v>194</v>
      </c>
      <c r="B97" t="s">
        <v>204</v>
      </c>
      <c r="C97" t="s">
        <v>205</v>
      </c>
      <c r="D97">
        <v>280</v>
      </c>
      <c r="E97">
        <v>120</v>
      </c>
      <c r="F97">
        <v>13</v>
      </c>
      <c r="G97">
        <v>20</v>
      </c>
      <c r="H97">
        <v>4.5</v>
      </c>
      <c r="I97">
        <v>22</v>
      </c>
      <c r="J97">
        <v>0</v>
      </c>
      <c r="K97">
        <v>45</v>
      </c>
      <c r="L97">
        <v>16</v>
      </c>
      <c r="M97">
        <v>720</v>
      </c>
      <c r="N97">
        <v>30</v>
      </c>
      <c r="O97">
        <v>25</v>
      </c>
      <c r="P97">
        <v>8</v>
      </c>
      <c r="Q97">
        <v>1</v>
      </c>
      <c r="R97">
        <v>5</v>
      </c>
      <c r="S97">
        <v>2</v>
      </c>
      <c r="T97">
        <v>16</v>
      </c>
      <c r="U97">
        <v>2</v>
      </c>
      <c r="V97">
        <v>2</v>
      </c>
      <c r="W97">
        <v>10</v>
      </c>
      <c r="X97">
        <v>10</v>
      </c>
    </row>
    <row r="98" spans="1:24" x14ac:dyDescent="0.3">
      <c r="A98" t="s">
        <v>194</v>
      </c>
      <c r="B98" t="s">
        <v>206</v>
      </c>
      <c r="C98" t="s">
        <v>207</v>
      </c>
      <c r="D98">
        <v>230</v>
      </c>
      <c r="E98">
        <v>100</v>
      </c>
      <c r="F98">
        <v>11</v>
      </c>
      <c r="G98">
        <v>17</v>
      </c>
      <c r="H98">
        <v>1.5</v>
      </c>
      <c r="I98">
        <v>8</v>
      </c>
      <c r="J98">
        <v>0</v>
      </c>
      <c r="K98">
        <v>0</v>
      </c>
      <c r="L98">
        <v>0</v>
      </c>
      <c r="M98">
        <v>130</v>
      </c>
      <c r="N98">
        <v>5</v>
      </c>
      <c r="O98">
        <v>30</v>
      </c>
      <c r="P98">
        <v>10</v>
      </c>
      <c r="Q98">
        <v>2</v>
      </c>
      <c r="R98">
        <v>10</v>
      </c>
      <c r="S98">
        <v>0</v>
      </c>
      <c r="T98">
        <v>2</v>
      </c>
      <c r="U98">
        <v>0</v>
      </c>
      <c r="V98">
        <v>30</v>
      </c>
      <c r="W98">
        <v>0</v>
      </c>
      <c r="X98">
        <v>4</v>
      </c>
    </row>
    <row r="99" spans="1:24" x14ac:dyDescent="0.3">
      <c r="A99" t="s">
        <v>194</v>
      </c>
      <c r="B99" t="s">
        <v>208</v>
      </c>
      <c r="C99" t="s">
        <v>30</v>
      </c>
      <c r="D99">
        <v>340</v>
      </c>
      <c r="E99">
        <v>140</v>
      </c>
      <c r="F99">
        <v>16</v>
      </c>
      <c r="G99">
        <v>24</v>
      </c>
      <c r="H99">
        <v>2.5</v>
      </c>
      <c r="I99">
        <v>11</v>
      </c>
      <c r="J99">
        <v>0</v>
      </c>
      <c r="K99">
        <v>0</v>
      </c>
      <c r="L99">
        <v>0</v>
      </c>
      <c r="M99">
        <v>190</v>
      </c>
      <c r="N99">
        <v>8</v>
      </c>
      <c r="O99">
        <v>44</v>
      </c>
      <c r="P99">
        <v>15</v>
      </c>
      <c r="Q99">
        <v>4</v>
      </c>
      <c r="R99">
        <v>14</v>
      </c>
      <c r="S99">
        <v>0</v>
      </c>
      <c r="T99">
        <v>4</v>
      </c>
      <c r="U99">
        <v>0</v>
      </c>
      <c r="V99">
        <v>45</v>
      </c>
      <c r="W99">
        <v>2</v>
      </c>
      <c r="X99">
        <v>4</v>
      </c>
    </row>
    <row r="100" spans="1:24" x14ac:dyDescent="0.3">
      <c r="A100" t="s">
        <v>194</v>
      </c>
      <c r="B100" t="s">
        <v>209</v>
      </c>
      <c r="C100" t="s">
        <v>210</v>
      </c>
      <c r="D100">
        <v>510</v>
      </c>
      <c r="E100">
        <v>220</v>
      </c>
      <c r="F100">
        <v>24</v>
      </c>
      <c r="G100">
        <v>37</v>
      </c>
      <c r="H100">
        <v>3.5</v>
      </c>
      <c r="I100">
        <v>17</v>
      </c>
      <c r="J100">
        <v>0</v>
      </c>
      <c r="K100">
        <v>0</v>
      </c>
      <c r="L100">
        <v>0</v>
      </c>
      <c r="M100">
        <v>290</v>
      </c>
      <c r="N100">
        <v>12</v>
      </c>
      <c r="O100">
        <v>67</v>
      </c>
      <c r="P100">
        <v>22</v>
      </c>
      <c r="Q100">
        <v>5</v>
      </c>
      <c r="R100">
        <v>22</v>
      </c>
      <c r="S100">
        <v>0</v>
      </c>
      <c r="T100">
        <v>6</v>
      </c>
      <c r="U100">
        <v>0</v>
      </c>
      <c r="V100">
        <v>70</v>
      </c>
      <c r="W100">
        <v>2</v>
      </c>
      <c r="X100">
        <v>8</v>
      </c>
    </row>
    <row r="101" spans="1:24" x14ac:dyDescent="0.3">
      <c r="A101" t="s">
        <v>194</v>
      </c>
      <c r="B101" t="s">
        <v>211</v>
      </c>
      <c r="C101" t="s">
        <v>212</v>
      </c>
      <c r="D101">
        <v>110</v>
      </c>
      <c r="E101">
        <v>50</v>
      </c>
      <c r="F101">
        <v>5</v>
      </c>
      <c r="G101">
        <v>8</v>
      </c>
      <c r="H101">
        <v>1</v>
      </c>
      <c r="I101">
        <v>4</v>
      </c>
      <c r="J101">
        <v>0</v>
      </c>
      <c r="K101">
        <v>0</v>
      </c>
      <c r="L101">
        <v>0</v>
      </c>
      <c r="M101">
        <v>65</v>
      </c>
      <c r="N101">
        <v>3</v>
      </c>
      <c r="O101">
        <v>15</v>
      </c>
      <c r="P101">
        <v>5</v>
      </c>
      <c r="Q101">
        <v>1</v>
      </c>
      <c r="R101">
        <v>5</v>
      </c>
      <c r="S101">
        <v>0</v>
      </c>
      <c r="T101">
        <v>1</v>
      </c>
      <c r="U101">
        <v>0</v>
      </c>
      <c r="V101">
        <v>15</v>
      </c>
      <c r="W101">
        <v>0</v>
      </c>
      <c r="X101">
        <v>2</v>
      </c>
    </row>
    <row r="102" spans="1:24" x14ac:dyDescent="0.3">
      <c r="A102" t="s">
        <v>194</v>
      </c>
      <c r="B102" t="s">
        <v>213</v>
      </c>
      <c r="C102" t="s">
        <v>214</v>
      </c>
      <c r="D102">
        <v>20</v>
      </c>
      <c r="E102">
        <v>0</v>
      </c>
      <c r="F102">
        <v>0</v>
      </c>
      <c r="G102">
        <v>0</v>
      </c>
      <c r="H102">
        <v>0</v>
      </c>
      <c r="I102">
        <v>0</v>
      </c>
      <c r="J102">
        <v>0</v>
      </c>
      <c r="K102">
        <v>0</v>
      </c>
      <c r="L102">
        <v>0</v>
      </c>
      <c r="M102">
        <v>10</v>
      </c>
      <c r="N102">
        <v>0</v>
      </c>
      <c r="O102">
        <v>4</v>
      </c>
      <c r="P102">
        <v>1</v>
      </c>
      <c r="Q102">
        <v>1</v>
      </c>
      <c r="R102">
        <v>6</v>
      </c>
      <c r="S102">
        <v>2</v>
      </c>
      <c r="T102">
        <v>1</v>
      </c>
      <c r="U102">
        <v>45</v>
      </c>
      <c r="V102">
        <v>25</v>
      </c>
      <c r="W102">
        <v>2</v>
      </c>
      <c r="X102">
        <v>4</v>
      </c>
    </row>
    <row r="103" spans="1:24" x14ac:dyDescent="0.3">
      <c r="A103" t="s">
        <v>194</v>
      </c>
      <c r="B103" t="s">
        <v>215</v>
      </c>
      <c r="C103" t="s">
        <v>216</v>
      </c>
      <c r="D103">
        <v>15</v>
      </c>
      <c r="E103">
        <v>0</v>
      </c>
      <c r="F103">
        <v>0</v>
      </c>
      <c r="G103">
        <v>0</v>
      </c>
      <c r="H103">
        <v>0</v>
      </c>
      <c r="I103">
        <v>0</v>
      </c>
      <c r="J103">
        <v>0</v>
      </c>
      <c r="K103">
        <v>0</v>
      </c>
      <c r="L103">
        <v>0</v>
      </c>
      <c r="M103">
        <v>0</v>
      </c>
      <c r="N103">
        <v>0</v>
      </c>
      <c r="O103">
        <v>4</v>
      </c>
      <c r="P103">
        <v>1</v>
      </c>
      <c r="Q103">
        <v>0</v>
      </c>
      <c r="R103">
        <v>0</v>
      </c>
      <c r="S103">
        <v>3</v>
      </c>
      <c r="T103">
        <v>0</v>
      </c>
      <c r="U103">
        <v>0</v>
      </c>
      <c r="V103">
        <v>160</v>
      </c>
      <c r="W103">
        <v>2</v>
      </c>
      <c r="X103">
        <v>0</v>
      </c>
    </row>
    <row r="104" spans="1:24" x14ac:dyDescent="0.3">
      <c r="A104" t="s">
        <v>194</v>
      </c>
      <c r="B104" t="s">
        <v>217</v>
      </c>
      <c r="C104" t="s">
        <v>218</v>
      </c>
      <c r="D104">
        <v>150</v>
      </c>
      <c r="E104">
        <v>20</v>
      </c>
      <c r="F104">
        <v>2</v>
      </c>
      <c r="G104">
        <v>3</v>
      </c>
      <c r="H104">
        <v>1</v>
      </c>
      <c r="I104">
        <v>5</v>
      </c>
      <c r="J104">
        <v>0</v>
      </c>
      <c r="K104">
        <v>5</v>
      </c>
      <c r="L104">
        <v>2</v>
      </c>
      <c r="M104">
        <v>70</v>
      </c>
      <c r="N104">
        <v>3</v>
      </c>
      <c r="O104">
        <v>30</v>
      </c>
      <c r="P104">
        <v>10</v>
      </c>
      <c r="Q104">
        <v>1</v>
      </c>
      <c r="R104">
        <v>3</v>
      </c>
      <c r="S104">
        <v>23</v>
      </c>
      <c r="T104">
        <v>4</v>
      </c>
      <c r="U104">
        <v>2</v>
      </c>
      <c r="V104">
        <v>15</v>
      </c>
      <c r="W104">
        <v>10</v>
      </c>
      <c r="X104">
        <v>4</v>
      </c>
    </row>
    <row r="105" spans="1:24" x14ac:dyDescent="0.3">
      <c r="A105" t="s">
        <v>219</v>
      </c>
      <c r="B105" t="s">
        <v>220</v>
      </c>
      <c r="C105" t="s">
        <v>221</v>
      </c>
      <c r="D105">
        <v>250</v>
      </c>
      <c r="E105">
        <v>110</v>
      </c>
      <c r="F105">
        <v>13</v>
      </c>
      <c r="G105">
        <v>19</v>
      </c>
      <c r="H105">
        <v>7</v>
      </c>
      <c r="I105">
        <v>35</v>
      </c>
      <c r="J105">
        <v>0</v>
      </c>
      <c r="K105">
        <v>0</v>
      </c>
      <c r="L105">
        <v>0</v>
      </c>
      <c r="M105">
        <v>170</v>
      </c>
      <c r="N105">
        <v>7</v>
      </c>
      <c r="O105">
        <v>32</v>
      </c>
      <c r="P105">
        <v>11</v>
      </c>
      <c r="Q105">
        <v>4</v>
      </c>
      <c r="R105">
        <v>15</v>
      </c>
      <c r="S105">
        <v>13</v>
      </c>
      <c r="T105">
        <v>2</v>
      </c>
      <c r="U105">
        <v>4</v>
      </c>
      <c r="V105">
        <v>25</v>
      </c>
      <c r="W105">
        <v>2</v>
      </c>
      <c r="X105">
        <v>6</v>
      </c>
    </row>
    <row r="106" spans="1:24" x14ac:dyDescent="0.3">
      <c r="A106" t="s">
        <v>219</v>
      </c>
      <c r="B106" t="s">
        <v>222</v>
      </c>
      <c r="C106" t="s">
        <v>223</v>
      </c>
      <c r="D106">
        <v>160</v>
      </c>
      <c r="E106">
        <v>70</v>
      </c>
      <c r="F106">
        <v>8</v>
      </c>
      <c r="G106">
        <v>12</v>
      </c>
      <c r="H106">
        <v>3.5</v>
      </c>
      <c r="I106">
        <v>19</v>
      </c>
      <c r="J106">
        <v>0</v>
      </c>
      <c r="K106">
        <v>10</v>
      </c>
      <c r="L106">
        <v>3</v>
      </c>
      <c r="M106">
        <v>90</v>
      </c>
      <c r="N106">
        <v>4</v>
      </c>
      <c r="O106">
        <v>21</v>
      </c>
      <c r="P106">
        <v>7</v>
      </c>
      <c r="Q106">
        <v>1</v>
      </c>
      <c r="R106">
        <v>3</v>
      </c>
      <c r="S106">
        <v>15</v>
      </c>
      <c r="T106">
        <v>2</v>
      </c>
      <c r="U106">
        <v>2</v>
      </c>
      <c r="V106">
        <v>0</v>
      </c>
      <c r="W106">
        <v>2</v>
      </c>
      <c r="X106">
        <v>8</v>
      </c>
    </row>
    <row r="107" spans="1:24" x14ac:dyDescent="0.3">
      <c r="A107" t="s">
        <v>219</v>
      </c>
      <c r="B107" t="s">
        <v>224</v>
      </c>
      <c r="C107" t="s">
        <v>223</v>
      </c>
      <c r="D107">
        <v>150</v>
      </c>
      <c r="E107">
        <v>50</v>
      </c>
      <c r="F107">
        <v>6</v>
      </c>
      <c r="G107">
        <v>9</v>
      </c>
      <c r="H107">
        <v>2.5</v>
      </c>
      <c r="I107">
        <v>13</v>
      </c>
      <c r="J107">
        <v>0</v>
      </c>
      <c r="K107">
        <v>10</v>
      </c>
      <c r="L107">
        <v>3</v>
      </c>
      <c r="M107">
        <v>135</v>
      </c>
      <c r="N107">
        <v>6</v>
      </c>
      <c r="O107">
        <v>22</v>
      </c>
      <c r="P107">
        <v>7</v>
      </c>
      <c r="Q107">
        <v>1</v>
      </c>
      <c r="R107">
        <v>3</v>
      </c>
      <c r="S107">
        <v>13</v>
      </c>
      <c r="T107">
        <v>2</v>
      </c>
      <c r="U107">
        <v>2</v>
      </c>
      <c r="V107">
        <v>0</v>
      </c>
      <c r="W107">
        <v>2</v>
      </c>
      <c r="X107">
        <v>6</v>
      </c>
    </row>
    <row r="108" spans="1:24" x14ac:dyDescent="0.3">
      <c r="A108" t="s">
        <v>219</v>
      </c>
      <c r="B108" t="s">
        <v>225</v>
      </c>
      <c r="C108" t="s">
        <v>226</v>
      </c>
      <c r="D108">
        <v>45</v>
      </c>
      <c r="E108">
        <v>10</v>
      </c>
      <c r="F108">
        <v>1.5</v>
      </c>
      <c r="G108">
        <v>2</v>
      </c>
      <c r="H108">
        <v>1</v>
      </c>
      <c r="I108">
        <v>4</v>
      </c>
      <c r="J108">
        <v>0</v>
      </c>
      <c r="K108">
        <v>5</v>
      </c>
      <c r="L108">
        <v>2</v>
      </c>
      <c r="M108">
        <v>20</v>
      </c>
      <c r="N108">
        <v>1</v>
      </c>
      <c r="O108">
        <v>7</v>
      </c>
      <c r="P108">
        <v>2</v>
      </c>
      <c r="Q108">
        <v>0</v>
      </c>
      <c r="R108">
        <v>0</v>
      </c>
      <c r="S108">
        <v>6</v>
      </c>
      <c r="T108">
        <v>1</v>
      </c>
      <c r="U108">
        <v>2</v>
      </c>
      <c r="V108">
        <v>0</v>
      </c>
      <c r="W108">
        <v>4</v>
      </c>
      <c r="X108">
        <v>0</v>
      </c>
    </row>
    <row r="109" spans="1:24" x14ac:dyDescent="0.3">
      <c r="A109" t="s">
        <v>219</v>
      </c>
      <c r="B109" t="s">
        <v>227</v>
      </c>
      <c r="C109" t="s">
        <v>228</v>
      </c>
      <c r="D109">
        <v>330</v>
      </c>
      <c r="E109">
        <v>80</v>
      </c>
      <c r="F109">
        <v>9</v>
      </c>
      <c r="G109">
        <v>14</v>
      </c>
      <c r="H109">
        <v>7</v>
      </c>
      <c r="I109">
        <v>34</v>
      </c>
      <c r="J109">
        <v>0</v>
      </c>
      <c r="K109">
        <v>25</v>
      </c>
      <c r="L109">
        <v>8</v>
      </c>
      <c r="M109">
        <v>170</v>
      </c>
      <c r="N109">
        <v>7</v>
      </c>
      <c r="O109">
        <v>53</v>
      </c>
      <c r="P109">
        <v>18</v>
      </c>
      <c r="Q109">
        <v>1</v>
      </c>
      <c r="R109">
        <v>3</v>
      </c>
      <c r="S109">
        <v>48</v>
      </c>
      <c r="T109">
        <v>8</v>
      </c>
      <c r="U109">
        <v>8</v>
      </c>
      <c r="V109">
        <v>0</v>
      </c>
      <c r="W109">
        <v>25</v>
      </c>
      <c r="X109">
        <v>8</v>
      </c>
    </row>
    <row r="110" spans="1:24" x14ac:dyDescent="0.3">
      <c r="A110" t="s">
        <v>219</v>
      </c>
      <c r="B110" t="s">
        <v>229</v>
      </c>
      <c r="C110" t="s">
        <v>230</v>
      </c>
      <c r="D110">
        <v>340</v>
      </c>
      <c r="E110">
        <v>70</v>
      </c>
      <c r="F110">
        <v>8</v>
      </c>
      <c r="G110">
        <v>12</v>
      </c>
      <c r="H110">
        <v>5</v>
      </c>
      <c r="I110">
        <v>24</v>
      </c>
      <c r="J110">
        <v>0</v>
      </c>
      <c r="K110">
        <v>30</v>
      </c>
      <c r="L110">
        <v>10</v>
      </c>
      <c r="M110">
        <v>150</v>
      </c>
      <c r="N110">
        <v>6</v>
      </c>
      <c r="O110">
        <v>60</v>
      </c>
      <c r="P110">
        <v>20</v>
      </c>
      <c r="Q110">
        <v>0</v>
      </c>
      <c r="R110">
        <v>0</v>
      </c>
      <c r="S110">
        <v>43</v>
      </c>
      <c r="T110">
        <v>7</v>
      </c>
      <c r="U110">
        <v>10</v>
      </c>
      <c r="V110">
        <v>0</v>
      </c>
      <c r="W110">
        <v>25</v>
      </c>
      <c r="X110">
        <v>0</v>
      </c>
    </row>
    <row r="111" spans="1:24" x14ac:dyDescent="0.3">
      <c r="A111" t="s">
        <v>219</v>
      </c>
      <c r="B111" t="s">
        <v>231</v>
      </c>
      <c r="C111" t="s">
        <v>64</v>
      </c>
      <c r="D111">
        <v>280</v>
      </c>
      <c r="E111">
        <v>60</v>
      </c>
      <c r="F111">
        <v>6</v>
      </c>
      <c r="G111">
        <v>10</v>
      </c>
      <c r="H111">
        <v>4</v>
      </c>
      <c r="I111">
        <v>20</v>
      </c>
      <c r="J111">
        <v>0</v>
      </c>
      <c r="K111">
        <v>25</v>
      </c>
      <c r="L111">
        <v>8</v>
      </c>
      <c r="M111">
        <v>85</v>
      </c>
      <c r="N111">
        <v>4</v>
      </c>
      <c r="O111">
        <v>49</v>
      </c>
      <c r="P111">
        <v>16</v>
      </c>
      <c r="Q111">
        <v>0</v>
      </c>
      <c r="R111">
        <v>0</v>
      </c>
      <c r="S111">
        <v>45</v>
      </c>
      <c r="T111">
        <v>6</v>
      </c>
      <c r="U111">
        <v>8</v>
      </c>
      <c r="V111">
        <v>4</v>
      </c>
      <c r="W111">
        <v>20</v>
      </c>
      <c r="X111">
        <v>0</v>
      </c>
    </row>
    <row r="112" spans="1:24" x14ac:dyDescent="0.3">
      <c r="A112" t="s">
        <v>232</v>
      </c>
      <c r="B112" t="s">
        <v>233</v>
      </c>
      <c r="C112" t="s">
        <v>234</v>
      </c>
      <c r="D112">
        <v>140</v>
      </c>
      <c r="E112">
        <v>0</v>
      </c>
      <c r="F112">
        <v>0</v>
      </c>
      <c r="G112">
        <v>0</v>
      </c>
      <c r="H112">
        <v>0</v>
      </c>
      <c r="I112">
        <v>0</v>
      </c>
      <c r="J112">
        <v>0</v>
      </c>
      <c r="K112">
        <v>0</v>
      </c>
      <c r="L112">
        <v>0</v>
      </c>
      <c r="M112">
        <v>0</v>
      </c>
      <c r="N112">
        <v>0</v>
      </c>
      <c r="O112">
        <v>39</v>
      </c>
      <c r="P112">
        <v>13</v>
      </c>
      <c r="Q112">
        <v>0</v>
      </c>
      <c r="R112">
        <v>0</v>
      </c>
      <c r="S112">
        <v>39</v>
      </c>
      <c r="T112">
        <v>0</v>
      </c>
      <c r="U112">
        <v>0</v>
      </c>
      <c r="V112">
        <v>0</v>
      </c>
      <c r="W112">
        <v>0</v>
      </c>
      <c r="X112">
        <v>0</v>
      </c>
    </row>
    <row r="113" spans="1:24" x14ac:dyDescent="0.3">
      <c r="A113" t="s">
        <v>232</v>
      </c>
      <c r="B113" t="s">
        <v>235</v>
      </c>
      <c r="C113" t="s">
        <v>236</v>
      </c>
      <c r="D113">
        <v>200</v>
      </c>
      <c r="E113">
        <v>0</v>
      </c>
      <c r="F113">
        <v>0</v>
      </c>
      <c r="G113">
        <v>0</v>
      </c>
      <c r="H113">
        <v>0</v>
      </c>
      <c r="I113">
        <v>0</v>
      </c>
      <c r="J113">
        <v>0</v>
      </c>
      <c r="K113">
        <v>0</v>
      </c>
      <c r="L113">
        <v>0</v>
      </c>
      <c r="M113">
        <v>5</v>
      </c>
      <c r="N113">
        <v>0</v>
      </c>
      <c r="O113">
        <v>55</v>
      </c>
      <c r="P113">
        <v>18</v>
      </c>
      <c r="Q113">
        <v>0</v>
      </c>
      <c r="R113">
        <v>0</v>
      </c>
      <c r="S113">
        <v>55</v>
      </c>
      <c r="T113">
        <v>0</v>
      </c>
      <c r="U113">
        <v>0</v>
      </c>
      <c r="V113">
        <v>0</v>
      </c>
      <c r="W113">
        <v>0</v>
      </c>
      <c r="X113">
        <v>0</v>
      </c>
    </row>
    <row r="114" spans="1:24" x14ac:dyDescent="0.3">
      <c r="A114" t="s">
        <v>232</v>
      </c>
      <c r="B114" t="s">
        <v>237</v>
      </c>
      <c r="C114" t="s">
        <v>238</v>
      </c>
      <c r="D114">
        <v>280</v>
      </c>
      <c r="E114">
        <v>0</v>
      </c>
      <c r="F114">
        <v>0</v>
      </c>
      <c r="G114">
        <v>0</v>
      </c>
      <c r="H114">
        <v>0</v>
      </c>
      <c r="I114">
        <v>0</v>
      </c>
      <c r="J114">
        <v>0</v>
      </c>
      <c r="K114">
        <v>0</v>
      </c>
      <c r="L114">
        <v>0</v>
      </c>
      <c r="M114">
        <v>5</v>
      </c>
      <c r="N114">
        <v>0</v>
      </c>
      <c r="O114">
        <v>76</v>
      </c>
      <c r="P114">
        <v>25</v>
      </c>
      <c r="Q114">
        <v>0</v>
      </c>
      <c r="R114">
        <v>0</v>
      </c>
      <c r="S114">
        <v>76</v>
      </c>
      <c r="T114">
        <v>0</v>
      </c>
      <c r="U114">
        <v>0</v>
      </c>
      <c r="V114">
        <v>0</v>
      </c>
      <c r="W114">
        <v>0</v>
      </c>
      <c r="X114">
        <v>0</v>
      </c>
    </row>
    <row r="115" spans="1:24" x14ac:dyDescent="0.3">
      <c r="A115" t="s">
        <v>232</v>
      </c>
      <c r="B115" t="s">
        <v>239</v>
      </c>
      <c r="C115" t="s">
        <v>240</v>
      </c>
      <c r="D115">
        <v>100</v>
      </c>
      <c r="E115">
        <v>0</v>
      </c>
      <c r="F115">
        <v>0</v>
      </c>
      <c r="G115">
        <v>0</v>
      </c>
      <c r="H115">
        <v>0</v>
      </c>
      <c r="I115">
        <v>0</v>
      </c>
      <c r="J115">
        <v>0</v>
      </c>
      <c r="K115">
        <v>0</v>
      </c>
      <c r="L115">
        <v>0</v>
      </c>
      <c r="M115">
        <v>0</v>
      </c>
      <c r="N115">
        <v>0</v>
      </c>
      <c r="O115">
        <v>28</v>
      </c>
      <c r="P115">
        <v>9</v>
      </c>
      <c r="Q115">
        <v>0</v>
      </c>
      <c r="R115">
        <v>0</v>
      </c>
      <c r="S115">
        <v>28</v>
      </c>
      <c r="T115">
        <v>0</v>
      </c>
      <c r="U115">
        <v>0</v>
      </c>
      <c r="V115">
        <v>0</v>
      </c>
      <c r="W115">
        <v>0</v>
      </c>
      <c r="X115">
        <v>0</v>
      </c>
    </row>
    <row r="116" spans="1:24" x14ac:dyDescent="0.3">
      <c r="A116" t="s">
        <v>232</v>
      </c>
      <c r="B116" t="s">
        <v>241</v>
      </c>
      <c r="C116" t="s">
        <v>234</v>
      </c>
      <c r="D116">
        <v>0</v>
      </c>
      <c r="E116">
        <v>0</v>
      </c>
      <c r="F116">
        <v>0</v>
      </c>
      <c r="G116">
        <v>0</v>
      </c>
      <c r="H116">
        <v>0</v>
      </c>
      <c r="I116">
        <v>0</v>
      </c>
      <c r="J116">
        <v>0</v>
      </c>
      <c r="K116">
        <v>0</v>
      </c>
      <c r="L116">
        <v>0</v>
      </c>
      <c r="M116">
        <v>10</v>
      </c>
      <c r="N116">
        <v>0</v>
      </c>
      <c r="O116">
        <v>0</v>
      </c>
      <c r="P116">
        <v>0</v>
      </c>
      <c r="Q116">
        <v>0</v>
      </c>
      <c r="R116">
        <v>0</v>
      </c>
      <c r="S116">
        <v>0</v>
      </c>
      <c r="T116">
        <v>0</v>
      </c>
      <c r="U116">
        <v>0</v>
      </c>
      <c r="V116">
        <v>0</v>
      </c>
      <c r="W116">
        <v>0</v>
      </c>
      <c r="X116">
        <v>0</v>
      </c>
    </row>
    <row r="117" spans="1:24" x14ac:dyDescent="0.3">
      <c r="A117" t="s">
        <v>232</v>
      </c>
      <c r="B117" t="s">
        <v>242</v>
      </c>
      <c r="C117" t="s">
        <v>236</v>
      </c>
      <c r="D117">
        <v>0</v>
      </c>
      <c r="E117">
        <v>0</v>
      </c>
      <c r="F117">
        <v>0</v>
      </c>
      <c r="G117">
        <v>0</v>
      </c>
      <c r="H117">
        <v>0</v>
      </c>
      <c r="I117">
        <v>0</v>
      </c>
      <c r="J117">
        <v>0</v>
      </c>
      <c r="K117">
        <v>0</v>
      </c>
      <c r="L117">
        <v>0</v>
      </c>
      <c r="M117">
        <v>20</v>
      </c>
      <c r="N117">
        <v>1</v>
      </c>
      <c r="O117">
        <v>0</v>
      </c>
      <c r="P117">
        <v>0</v>
      </c>
      <c r="Q117">
        <v>0</v>
      </c>
      <c r="R117">
        <v>0</v>
      </c>
      <c r="S117">
        <v>0</v>
      </c>
      <c r="T117">
        <v>0</v>
      </c>
      <c r="U117">
        <v>0</v>
      </c>
      <c r="V117">
        <v>0</v>
      </c>
      <c r="W117">
        <v>0</v>
      </c>
      <c r="X117">
        <v>0</v>
      </c>
    </row>
    <row r="118" spans="1:24" x14ac:dyDescent="0.3">
      <c r="A118" t="s">
        <v>232</v>
      </c>
      <c r="B118" t="s">
        <v>243</v>
      </c>
      <c r="C118" t="s">
        <v>238</v>
      </c>
      <c r="D118">
        <v>0</v>
      </c>
      <c r="E118">
        <v>0</v>
      </c>
      <c r="F118">
        <v>0</v>
      </c>
      <c r="G118">
        <v>0</v>
      </c>
      <c r="H118">
        <v>0</v>
      </c>
      <c r="I118">
        <v>0</v>
      </c>
      <c r="J118">
        <v>0</v>
      </c>
      <c r="K118">
        <v>0</v>
      </c>
      <c r="L118">
        <v>0</v>
      </c>
      <c r="M118">
        <v>35</v>
      </c>
      <c r="N118">
        <v>1</v>
      </c>
      <c r="O118">
        <v>0</v>
      </c>
      <c r="P118">
        <v>0</v>
      </c>
      <c r="Q118">
        <v>0</v>
      </c>
      <c r="R118">
        <v>0</v>
      </c>
      <c r="S118">
        <v>0</v>
      </c>
      <c r="T118">
        <v>0</v>
      </c>
      <c r="U118">
        <v>0</v>
      </c>
      <c r="V118">
        <v>0</v>
      </c>
      <c r="W118">
        <v>0</v>
      </c>
      <c r="X118">
        <v>0</v>
      </c>
    </row>
    <row r="119" spans="1:24" x14ac:dyDescent="0.3">
      <c r="A119" t="s">
        <v>232</v>
      </c>
      <c r="B119" t="s">
        <v>244</v>
      </c>
      <c r="C119" t="s">
        <v>240</v>
      </c>
      <c r="D119">
        <v>0</v>
      </c>
      <c r="E119">
        <v>0</v>
      </c>
      <c r="F119">
        <v>0</v>
      </c>
      <c r="G119">
        <v>0</v>
      </c>
      <c r="H119">
        <v>0</v>
      </c>
      <c r="I119">
        <v>0</v>
      </c>
      <c r="J119">
        <v>0</v>
      </c>
      <c r="K119">
        <v>0</v>
      </c>
      <c r="L119">
        <v>0</v>
      </c>
      <c r="M119">
        <v>15</v>
      </c>
      <c r="N119">
        <v>1</v>
      </c>
      <c r="O119">
        <v>0</v>
      </c>
      <c r="P119">
        <v>0</v>
      </c>
      <c r="Q119">
        <v>0</v>
      </c>
      <c r="R119">
        <v>0</v>
      </c>
      <c r="S119">
        <v>0</v>
      </c>
      <c r="T119">
        <v>0</v>
      </c>
      <c r="U119">
        <v>0</v>
      </c>
      <c r="V119">
        <v>0</v>
      </c>
      <c r="W119">
        <v>0</v>
      </c>
      <c r="X119">
        <v>0</v>
      </c>
    </row>
    <row r="120" spans="1:24" x14ac:dyDescent="0.3">
      <c r="A120" t="s">
        <v>232</v>
      </c>
      <c r="B120" t="s">
        <v>245</v>
      </c>
      <c r="C120" t="s">
        <v>234</v>
      </c>
      <c r="D120">
        <v>140</v>
      </c>
      <c r="E120">
        <v>0</v>
      </c>
      <c r="F120">
        <v>0</v>
      </c>
      <c r="G120">
        <v>0</v>
      </c>
      <c r="H120">
        <v>0</v>
      </c>
      <c r="I120">
        <v>0</v>
      </c>
      <c r="J120">
        <v>0</v>
      </c>
      <c r="K120">
        <v>0</v>
      </c>
      <c r="L120">
        <v>0</v>
      </c>
      <c r="M120">
        <v>45</v>
      </c>
      <c r="N120">
        <v>2</v>
      </c>
      <c r="O120">
        <v>37</v>
      </c>
      <c r="P120">
        <v>12</v>
      </c>
      <c r="Q120">
        <v>0</v>
      </c>
      <c r="R120">
        <v>0</v>
      </c>
      <c r="S120">
        <v>35</v>
      </c>
      <c r="T120">
        <v>0</v>
      </c>
      <c r="U120">
        <v>0</v>
      </c>
      <c r="V120">
        <v>0</v>
      </c>
      <c r="W120">
        <v>0</v>
      </c>
      <c r="X120">
        <v>0</v>
      </c>
    </row>
    <row r="121" spans="1:24" x14ac:dyDescent="0.3">
      <c r="A121" t="s">
        <v>232</v>
      </c>
      <c r="B121" t="s">
        <v>246</v>
      </c>
      <c r="C121" t="s">
        <v>236</v>
      </c>
      <c r="D121">
        <v>190</v>
      </c>
      <c r="E121">
        <v>0</v>
      </c>
      <c r="F121">
        <v>0</v>
      </c>
      <c r="G121">
        <v>0</v>
      </c>
      <c r="H121">
        <v>0</v>
      </c>
      <c r="I121">
        <v>0</v>
      </c>
      <c r="J121">
        <v>0</v>
      </c>
      <c r="K121">
        <v>0</v>
      </c>
      <c r="L121">
        <v>0</v>
      </c>
      <c r="M121">
        <v>65</v>
      </c>
      <c r="N121">
        <v>3</v>
      </c>
      <c r="O121">
        <v>53</v>
      </c>
      <c r="P121">
        <v>18</v>
      </c>
      <c r="Q121">
        <v>0</v>
      </c>
      <c r="R121">
        <v>0</v>
      </c>
      <c r="S121">
        <v>51</v>
      </c>
      <c r="T121">
        <v>0</v>
      </c>
      <c r="U121">
        <v>0</v>
      </c>
      <c r="V121">
        <v>0</v>
      </c>
      <c r="W121">
        <v>0</v>
      </c>
      <c r="X121">
        <v>0</v>
      </c>
    </row>
    <row r="122" spans="1:24" x14ac:dyDescent="0.3">
      <c r="A122" t="s">
        <v>232</v>
      </c>
      <c r="B122" t="s">
        <v>247</v>
      </c>
      <c r="C122" t="s">
        <v>238</v>
      </c>
      <c r="D122">
        <v>270</v>
      </c>
      <c r="E122">
        <v>0</v>
      </c>
      <c r="F122">
        <v>0</v>
      </c>
      <c r="G122">
        <v>0</v>
      </c>
      <c r="H122">
        <v>0</v>
      </c>
      <c r="I122">
        <v>0</v>
      </c>
      <c r="J122">
        <v>0</v>
      </c>
      <c r="K122">
        <v>0</v>
      </c>
      <c r="L122">
        <v>0</v>
      </c>
      <c r="M122">
        <v>90</v>
      </c>
      <c r="N122">
        <v>4</v>
      </c>
      <c r="O122">
        <v>72</v>
      </c>
      <c r="P122">
        <v>24</v>
      </c>
      <c r="Q122">
        <v>0</v>
      </c>
      <c r="R122">
        <v>0</v>
      </c>
      <c r="S122">
        <v>70</v>
      </c>
      <c r="T122">
        <v>0</v>
      </c>
      <c r="U122">
        <v>0</v>
      </c>
      <c r="V122">
        <v>0</v>
      </c>
      <c r="W122">
        <v>0</v>
      </c>
      <c r="X122">
        <v>0</v>
      </c>
    </row>
    <row r="123" spans="1:24" x14ac:dyDescent="0.3">
      <c r="A123" t="s">
        <v>232</v>
      </c>
      <c r="B123" t="s">
        <v>248</v>
      </c>
      <c r="C123" t="s">
        <v>240</v>
      </c>
      <c r="D123">
        <v>100</v>
      </c>
      <c r="E123">
        <v>0</v>
      </c>
      <c r="F123">
        <v>0</v>
      </c>
      <c r="G123">
        <v>0</v>
      </c>
      <c r="H123">
        <v>0</v>
      </c>
      <c r="I123">
        <v>0</v>
      </c>
      <c r="J123">
        <v>0</v>
      </c>
      <c r="K123">
        <v>0</v>
      </c>
      <c r="L123">
        <v>0</v>
      </c>
      <c r="M123">
        <v>30</v>
      </c>
      <c r="N123">
        <v>1</v>
      </c>
      <c r="O123">
        <v>27</v>
      </c>
      <c r="P123">
        <v>9</v>
      </c>
      <c r="Q123">
        <v>0</v>
      </c>
      <c r="R123">
        <v>0</v>
      </c>
      <c r="S123">
        <v>26</v>
      </c>
      <c r="T123">
        <v>0</v>
      </c>
      <c r="U123">
        <v>0</v>
      </c>
      <c r="V123">
        <v>0</v>
      </c>
      <c r="W123">
        <v>0</v>
      </c>
      <c r="X123">
        <v>0</v>
      </c>
    </row>
    <row r="124" spans="1:24" x14ac:dyDescent="0.3">
      <c r="A124" t="s">
        <v>232</v>
      </c>
      <c r="B124" t="s">
        <v>249</v>
      </c>
      <c r="C124" t="s">
        <v>234</v>
      </c>
      <c r="D124">
        <v>0</v>
      </c>
      <c r="E124">
        <v>0</v>
      </c>
      <c r="F124">
        <v>0</v>
      </c>
      <c r="G124">
        <v>0</v>
      </c>
      <c r="H124">
        <v>0</v>
      </c>
      <c r="I124">
        <v>0</v>
      </c>
      <c r="J124">
        <v>0</v>
      </c>
      <c r="K124">
        <v>0</v>
      </c>
      <c r="L124">
        <v>0</v>
      </c>
      <c r="M124">
        <v>70</v>
      </c>
      <c r="N124">
        <v>3</v>
      </c>
      <c r="O124">
        <v>0</v>
      </c>
      <c r="P124">
        <v>0</v>
      </c>
      <c r="Q124">
        <v>0</v>
      </c>
      <c r="R124">
        <v>0</v>
      </c>
      <c r="S124">
        <v>0</v>
      </c>
      <c r="T124">
        <v>2</v>
      </c>
      <c r="U124">
        <v>0</v>
      </c>
      <c r="V124">
        <v>0</v>
      </c>
      <c r="W124">
        <v>0</v>
      </c>
      <c r="X124">
        <v>0</v>
      </c>
    </row>
    <row r="125" spans="1:24" x14ac:dyDescent="0.3">
      <c r="A125" t="s">
        <v>232</v>
      </c>
      <c r="B125" t="s">
        <v>250</v>
      </c>
      <c r="C125" t="s">
        <v>236</v>
      </c>
      <c r="D125">
        <v>0</v>
      </c>
      <c r="E125">
        <v>0</v>
      </c>
      <c r="F125">
        <v>0</v>
      </c>
      <c r="G125">
        <v>0</v>
      </c>
      <c r="H125">
        <v>0</v>
      </c>
      <c r="I125">
        <v>0</v>
      </c>
      <c r="J125">
        <v>0</v>
      </c>
      <c r="K125">
        <v>0</v>
      </c>
      <c r="L125">
        <v>0</v>
      </c>
      <c r="M125">
        <v>100</v>
      </c>
      <c r="N125">
        <v>4</v>
      </c>
      <c r="O125">
        <v>0</v>
      </c>
      <c r="P125">
        <v>0</v>
      </c>
      <c r="Q125">
        <v>0</v>
      </c>
      <c r="R125">
        <v>0</v>
      </c>
      <c r="S125">
        <v>0</v>
      </c>
      <c r="T125">
        <v>3</v>
      </c>
      <c r="U125">
        <v>0</v>
      </c>
      <c r="V125">
        <v>0</v>
      </c>
      <c r="W125">
        <v>0</v>
      </c>
      <c r="X125">
        <v>0</v>
      </c>
    </row>
    <row r="126" spans="1:24" x14ac:dyDescent="0.3">
      <c r="A126" t="s">
        <v>232</v>
      </c>
      <c r="B126" t="s">
        <v>251</v>
      </c>
      <c r="C126" t="s">
        <v>238</v>
      </c>
      <c r="D126">
        <v>0</v>
      </c>
      <c r="E126">
        <v>0</v>
      </c>
      <c r="F126">
        <v>0</v>
      </c>
      <c r="G126">
        <v>0</v>
      </c>
      <c r="H126">
        <v>0</v>
      </c>
      <c r="I126">
        <v>0</v>
      </c>
      <c r="J126">
        <v>0</v>
      </c>
      <c r="K126">
        <v>0</v>
      </c>
      <c r="L126">
        <v>0</v>
      </c>
      <c r="M126">
        <v>140</v>
      </c>
      <c r="N126">
        <v>6</v>
      </c>
      <c r="O126">
        <v>0</v>
      </c>
      <c r="P126">
        <v>0</v>
      </c>
      <c r="Q126">
        <v>0</v>
      </c>
      <c r="R126">
        <v>0</v>
      </c>
      <c r="S126">
        <v>0</v>
      </c>
      <c r="T126">
        <v>4</v>
      </c>
      <c r="U126">
        <v>0</v>
      </c>
      <c r="V126">
        <v>0</v>
      </c>
      <c r="W126">
        <v>0</v>
      </c>
      <c r="X126">
        <v>0</v>
      </c>
    </row>
    <row r="127" spans="1:24" x14ac:dyDescent="0.3">
      <c r="A127" t="s">
        <v>232</v>
      </c>
      <c r="B127" t="s">
        <v>252</v>
      </c>
      <c r="C127" t="s">
        <v>240</v>
      </c>
      <c r="D127">
        <v>0</v>
      </c>
      <c r="E127">
        <v>0</v>
      </c>
      <c r="F127">
        <v>0</v>
      </c>
      <c r="G127">
        <v>0</v>
      </c>
      <c r="H127">
        <v>0</v>
      </c>
      <c r="I127">
        <v>0</v>
      </c>
      <c r="J127">
        <v>0</v>
      </c>
      <c r="K127">
        <v>0</v>
      </c>
      <c r="L127">
        <v>0</v>
      </c>
      <c r="M127">
        <v>50</v>
      </c>
      <c r="N127">
        <v>2</v>
      </c>
      <c r="O127">
        <v>0</v>
      </c>
      <c r="P127">
        <v>0</v>
      </c>
      <c r="Q127">
        <v>0</v>
      </c>
      <c r="R127">
        <v>0</v>
      </c>
      <c r="S127">
        <v>0</v>
      </c>
      <c r="T127">
        <v>1</v>
      </c>
      <c r="U127">
        <v>0</v>
      </c>
      <c r="V127">
        <v>0</v>
      </c>
      <c r="W127">
        <v>0</v>
      </c>
      <c r="X127">
        <v>0</v>
      </c>
    </row>
    <row r="128" spans="1:24" x14ac:dyDescent="0.3">
      <c r="A128" t="s">
        <v>232</v>
      </c>
      <c r="B128" t="s">
        <v>253</v>
      </c>
      <c r="C128" t="s">
        <v>234</v>
      </c>
      <c r="D128">
        <v>140</v>
      </c>
      <c r="E128">
        <v>0</v>
      </c>
      <c r="F128">
        <v>0</v>
      </c>
      <c r="G128">
        <v>0</v>
      </c>
      <c r="H128">
        <v>0</v>
      </c>
      <c r="I128">
        <v>0</v>
      </c>
      <c r="J128">
        <v>0</v>
      </c>
      <c r="K128">
        <v>0</v>
      </c>
      <c r="L128">
        <v>0</v>
      </c>
      <c r="M128">
        <v>30</v>
      </c>
      <c r="N128">
        <v>1</v>
      </c>
      <c r="O128">
        <v>37</v>
      </c>
      <c r="P128">
        <v>12</v>
      </c>
      <c r="Q128">
        <v>0</v>
      </c>
      <c r="R128">
        <v>0</v>
      </c>
      <c r="S128">
        <v>37</v>
      </c>
      <c r="T128">
        <v>0</v>
      </c>
      <c r="U128">
        <v>0</v>
      </c>
      <c r="V128">
        <v>0</v>
      </c>
      <c r="W128">
        <v>0</v>
      </c>
      <c r="X128">
        <v>0</v>
      </c>
    </row>
    <row r="129" spans="1:24" x14ac:dyDescent="0.3">
      <c r="A129" t="s">
        <v>232</v>
      </c>
      <c r="B129" t="s">
        <v>254</v>
      </c>
      <c r="C129" t="s">
        <v>236</v>
      </c>
      <c r="D129">
        <v>200</v>
      </c>
      <c r="E129">
        <v>0</v>
      </c>
      <c r="F129">
        <v>0</v>
      </c>
      <c r="G129">
        <v>0</v>
      </c>
      <c r="H129">
        <v>0</v>
      </c>
      <c r="I129">
        <v>0</v>
      </c>
      <c r="J129">
        <v>0</v>
      </c>
      <c r="K129">
        <v>0</v>
      </c>
      <c r="L129">
        <v>0</v>
      </c>
      <c r="M129">
        <v>45</v>
      </c>
      <c r="N129">
        <v>2</v>
      </c>
      <c r="O129">
        <v>54</v>
      </c>
      <c r="P129">
        <v>18</v>
      </c>
      <c r="Q129">
        <v>0</v>
      </c>
      <c r="R129">
        <v>0</v>
      </c>
      <c r="S129">
        <v>54</v>
      </c>
      <c r="T129">
        <v>0</v>
      </c>
      <c r="U129">
        <v>0</v>
      </c>
      <c r="V129">
        <v>0</v>
      </c>
      <c r="W129">
        <v>0</v>
      </c>
      <c r="X129">
        <v>0</v>
      </c>
    </row>
    <row r="130" spans="1:24" x14ac:dyDescent="0.3">
      <c r="A130" t="s">
        <v>232</v>
      </c>
      <c r="B130" t="s">
        <v>255</v>
      </c>
      <c r="C130" t="s">
        <v>238</v>
      </c>
      <c r="D130">
        <v>280</v>
      </c>
      <c r="E130">
        <v>0</v>
      </c>
      <c r="F130">
        <v>0</v>
      </c>
      <c r="G130">
        <v>0</v>
      </c>
      <c r="H130">
        <v>0</v>
      </c>
      <c r="I130">
        <v>0</v>
      </c>
      <c r="J130">
        <v>0</v>
      </c>
      <c r="K130">
        <v>0</v>
      </c>
      <c r="L130">
        <v>0</v>
      </c>
      <c r="M130">
        <v>60</v>
      </c>
      <c r="N130">
        <v>3</v>
      </c>
      <c r="O130">
        <v>74</v>
      </c>
      <c r="P130">
        <v>25</v>
      </c>
      <c r="Q130">
        <v>0</v>
      </c>
      <c r="R130">
        <v>0</v>
      </c>
      <c r="S130">
        <v>74</v>
      </c>
      <c r="T130">
        <v>0</v>
      </c>
      <c r="U130">
        <v>0</v>
      </c>
      <c r="V130">
        <v>0</v>
      </c>
      <c r="W130">
        <v>0</v>
      </c>
      <c r="X130">
        <v>0</v>
      </c>
    </row>
    <row r="131" spans="1:24" x14ac:dyDescent="0.3">
      <c r="A131" t="s">
        <v>232</v>
      </c>
      <c r="B131" t="s">
        <v>256</v>
      </c>
      <c r="C131" t="s">
        <v>240</v>
      </c>
      <c r="D131">
        <v>100</v>
      </c>
      <c r="E131">
        <v>0</v>
      </c>
      <c r="F131">
        <v>0</v>
      </c>
      <c r="G131">
        <v>0</v>
      </c>
      <c r="H131">
        <v>0</v>
      </c>
      <c r="I131">
        <v>0</v>
      </c>
      <c r="J131">
        <v>0</v>
      </c>
      <c r="K131">
        <v>0</v>
      </c>
      <c r="L131">
        <v>0</v>
      </c>
      <c r="M131">
        <v>25</v>
      </c>
      <c r="N131">
        <v>1</v>
      </c>
      <c r="O131">
        <v>27</v>
      </c>
      <c r="P131">
        <v>9</v>
      </c>
      <c r="Q131">
        <v>0</v>
      </c>
      <c r="R131">
        <v>0</v>
      </c>
      <c r="S131">
        <v>27</v>
      </c>
      <c r="T131">
        <v>0</v>
      </c>
      <c r="U131">
        <v>0</v>
      </c>
      <c r="V131">
        <v>0</v>
      </c>
      <c r="W131">
        <v>0</v>
      </c>
      <c r="X131">
        <v>0</v>
      </c>
    </row>
    <row r="132" spans="1:24" x14ac:dyDescent="0.3">
      <c r="A132" t="s">
        <v>232</v>
      </c>
      <c r="B132" t="s">
        <v>257</v>
      </c>
      <c r="C132" t="s">
        <v>258</v>
      </c>
      <c r="D132">
        <v>100</v>
      </c>
      <c r="E132">
        <v>20</v>
      </c>
      <c r="F132">
        <v>2.5</v>
      </c>
      <c r="G132">
        <v>4</v>
      </c>
      <c r="H132">
        <v>1.5</v>
      </c>
      <c r="I132">
        <v>8</v>
      </c>
      <c r="J132">
        <v>0</v>
      </c>
      <c r="K132">
        <v>10</v>
      </c>
      <c r="L132">
        <v>3</v>
      </c>
      <c r="M132">
        <v>125</v>
      </c>
      <c r="N132">
        <v>5</v>
      </c>
      <c r="O132">
        <v>12</v>
      </c>
      <c r="P132">
        <v>4</v>
      </c>
      <c r="Q132">
        <v>0</v>
      </c>
      <c r="R132">
        <v>0</v>
      </c>
      <c r="S132">
        <v>12</v>
      </c>
      <c r="T132">
        <v>8</v>
      </c>
      <c r="U132">
        <v>10</v>
      </c>
      <c r="V132">
        <v>4</v>
      </c>
      <c r="W132">
        <v>30</v>
      </c>
      <c r="X132">
        <v>0</v>
      </c>
    </row>
    <row r="133" spans="1:24" x14ac:dyDescent="0.3">
      <c r="A133" t="s">
        <v>232</v>
      </c>
      <c r="B133" t="s">
        <v>259</v>
      </c>
      <c r="C133" t="s">
        <v>258</v>
      </c>
      <c r="D133">
        <v>130</v>
      </c>
      <c r="E133">
        <v>0</v>
      </c>
      <c r="F133">
        <v>0</v>
      </c>
      <c r="G133">
        <v>0</v>
      </c>
      <c r="H133">
        <v>0</v>
      </c>
      <c r="I133">
        <v>0</v>
      </c>
      <c r="J133">
        <v>0</v>
      </c>
      <c r="K133">
        <v>5</v>
      </c>
      <c r="L133">
        <v>2</v>
      </c>
      <c r="M133">
        <v>135</v>
      </c>
      <c r="N133">
        <v>6</v>
      </c>
      <c r="O133">
        <v>23</v>
      </c>
      <c r="P133">
        <v>8</v>
      </c>
      <c r="Q133">
        <v>1</v>
      </c>
      <c r="R133">
        <v>2</v>
      </c>
      <c r="S133">
        <v>22</v>
      </c>
      <c r="T133">
        <v>9</v>
      </c>
      <c r="U133">
        <v>10</v>
      </c>
      <c r="V133">
        <v>0</v>
      </c>
      <c r="W133">
        <v>30</v>
      </c>
      <c r="X133">
        <v>8</v>
      </c>
    </row>
    <row r="134" spans="1:24" x14ac:dyDescent="0.3">
      <c r="A134" t="s">
        <v>232</v>
      </c>
      <c r="B134" t="s">
        <v>260</v>
      </c>
      <c r="C134" t="s">
        <v>261</v>
      </c>
      <c r="D134">
        <v>80</v>
      </c>
      <c r="E134">
        <v>0</v>
      </c>
      <c r="F134">
        <v>0</v>
      </c>
      <c r="G134">
        <v>0</v>
      </c>
      <c r="H134">
        <v>0</v>
      </c>
      <c r="I134">
        <v>0</v>
      </c>
      <c r="J134">
        <v>0</v>
      </c>
      <c r="K134">
        <v>0</v>
      </c>
      <c r="L134">
        <v>0</v>
      </c>
      <c r="M134">
        <v>15</v>
      </c>
      <c r="N134">
        <v>1</v>
      </c>
      <c r="O134">
        <v>21</v>
      </c>
      <c r="P134">
        <v>7</v>
      </c>
      <c r="Q134">
        <v>0</v>
      </c>
      <c r="R134">
        <v>0</v>
      </c>
      <c r="S134">
        <v>19</v>
      </c>
      <c r="T134">
        <v>0</v>
      </c>
      <c r="U134">
        <v>0</v>
      </c>
      <c r="V134">
        <v>100</v>
      </c>
      <c r="W134">
        <v>10</v>
      </c>
      <c r="X134">
        <v>0</v>
      </c>
    </row>
    <row r="135" spans="1:24" x14ac:dyDescent="0.3">
      <c r="A135" t="s">
        <v>232</v>
      </c>
      <c r="B135" t="s">
        <v>262</v>
      </c>
      <c r="C135" t="s">
        <v>240</v>
      </c>
      <c r="D135">
        <v>150</v>
      </c>
      <c r="E135">
        <v>0</v>
      </c>
      <c r="F135">
        <v>0</v>
      </c>
      <c r="G135">
        <v>0</v>
      </c>
      <c r="H135">
        <v>0</v>
      </c>
      <c r="I135">
        <v>0</v>
      </c>
      <c r="J135">
        <v>0</v>
      </c>
      <c r="K135">
        <v>0</v>
      </c>
      <c r="L135">
        <v>0</v>
      </c>
      <c r="M135">
        <v>0</v>
      </c>
      <c r="N135">
        <v>0</v>
      </c>
      <c r="O135">
        <v>34</v>
      </c>
      <c r="P135">
        <v>11</v>
      </c>
      <c r="Q135">
        <v>0</v>
      </c>
      <c r="R135">
        <v>0</v>
      </c>
      <c r="S135">
        <v>30</v>
      </c>
      <c r="T135">
        <v>2</v>
      </c>
      <c r="U135">
        <v>0</v>
      </c>
      <c r="V135">
        <v>130</v>
      </c>
      <c r="W135">
        <v>2</v>
      </c>
      <c r="X135">
        <v>0</v>
      </c>
    </row>
    <row r="136" spans="1:24" x14ac:dyDescent="0.3">
      <c r="A136" t="s">
        <v>232</v>
      </c>
      <c r="B136" t="s">
        <v>263</v>
      </c>
      <c r="C136" t="s">
        <v>234</v>
      </c>
      <c r="D136">
        <v>190</v>
      </c>
      <c r="E136">
        <v>0</v>
      </c>
      <c r="F136">
        <v>0</v>
      </c>
      <c r="G136">
        <v>0</v>
      </c>
      <c r="H136">
        <v>0</v>
      </c>
      <c r="I136">
        <v>0</v>
      </c>
      <c r="J136">
        <v>0</v>
      </c>
      <c r="K136">
        <v>0</v>
      </c>
      <c r="L136">
        <v>0</v>
      </c>
      <c r="M136">
        <v>0</v>
      </c>
      <c r="N136">
        <v>0</v>
      </c>
      <c r="O136">
        <v>44</v>
      </c>
      <c r="P136">
        <v>15</v>
      </c>
      <c r="Q136">
        <v>0</v>
      </c>
      <c r="R136">
        <v>0</v>
      </c>
      <c r="S136">
        <v>39</v>
      </c>
      <c r="T136">
        <v>3</v>
      </c>
      <c r="U136">
        <v>0</v>
      </c>
      <c r="V136">
        <v>160</v>
      </c>
      <c r="W136">
        <v>4</v>
      </c>
      <c r="X136">
        <v>0</v>
      </c>
    </row>
    <row r="137" spans="1:24" x14ac:dyDescent="0.3">
      <c r="A137" t="s">
        <v>232</v>
      </c>
      <c r="B137" t="s">
        <v>264</v>
      </c>
      <c r="C137" t="s">
        <v>265</v>
      </c>
      <c r="D137">
        <v>280</v>
      </c>
      <c r="E137">
        <v>0</v>
      </c>
      <c r="F137">
        <v>0</v>
      </c>
      <c r="G137">
        <v>0</v>
      </c>
      <c r="H137">
        <v>0</v>
      </c>
      <c r="I137">
        <v>0</v>
      </c>
      <c r="J137">
        <v>0</v>
      </c>
      <c r="K137">
        <v>0</v>
      </c>
      <c r="L137">
        <v>0</v>
      </c>
      <c r="M137">
        <v>5</v>
      </c>
      <c r="N137">
        <v>0</v>
      </c>
      <c r="O137">
        <v>65</v>
      </c>
      <c r="P137">
        <v>22</v>
      </c>
      <c r="Q137">
        <v>0</v>
      </c>
      <c r="R137">
        <v>0</v>
      </c>
      <c r="S137">
        <v>58</v>
      </c>
      <c r="T137">
        <v>4</v>
      </c>
      <c r="U137">
        <v>0</v>
      </c>
      <c r="V137">
        <v>240</v>
      </c>
      <c r="W137">
        <v>4</v>
      </c>
      <c r="X137">
        <v>0</v>
      </c>
    </row>
    <row r="138" spans="1:24" x14ac:dyDescent="0.3">
      <c r="A138" t="s">
        <v>232</v>
      </c>
      <c r="B138" t="s">
        <v>266</v>
      </c>
      <c r="C138" t="s">
        <v>267</v>
      </c>
      <c r="D138">
        <v>0</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row>
    <row r="139" spans="1:24" x14ac:dyDescent="0.3">
      <c r="A139" t="s">
        <v>268</v>
      </c>
      <c r="B139" t="s">
        <v>269</v>
      </c>
      <c r="C139" t="s">
        <v>234</v>
      </c>
      <c r="D139">
        <v>0</v>
      </c>
      <c r="E139">
        <v>0</v>
      </c>
      <c r="F139">
        <v>0</v>
      </c>
      <c r="G139">
        <v>0</v>
      </c>
      <c r="H139">
        <v>0</v>
      </c>
      <c r="I139">
        <v>0</v>
      </c>
      <c r="J139">
        <v>0</v>
      </c>
      <c r="K139">
        <v>0</v>
      </c>
      <c r="L139">
        <v>0</v>
      </c>
      <c r="M139">
        <v>10</v>
      </c>
      <c r="N139">
        <v>0</v>
      </c>
      <c r="O139">
        <v>0</v>
      </c>
      <c r="P139">
        <v>0</v>
      </c>
      <c r="Q139">
        <v>0</v>
      </c>
      <c r="R139">
        <v>0</v>
      </c>
      <c r="S139">
        <v>0</v>
      </c>
      <c r="T139">
        <v>0</v>
      </c>
      <c r="U139">
        <v>0</v>
      </c>
      <c r="V139">
        <v>0</v>
      </c>
      <c r="W139">
        <v>0</v>
      </c>
      <c r="X139">
        <v>0</v>
      </c>
    </row>
    <row r="140" spans="1:24" x14ac:dyDescent="0.3">
      <c r="A140" t="s">
        <v>268</v>
      </c>
      <c r="B140" t="s">
        <v>270</v>
      </c>
      <c r="C140" t="s">
        <v>236</v>
      </c>
      <c r="D140">
        <v>0</v>
      </c>
      <c r="E140">
        <v>0</v>
      </c>
      <c r="F140">
        <v>0</v>
      </c>
      <c r="G140">
        <v>0</v>
      </c>
      <c r="H140">
        <v>0</v>
      </c>
      <c r="I140">
        <v>0</v>
      </c>
      <c r="J140">
        <v>0</v>
      </c>
      <c r="K140">
        <v>0</v>
      </c>
      <c r="L140">
        <v>0</v>
      </c>
      <c r="M140">
        <v>10</v>
      </c>
      <c r="N140">
        <v>0</v>
      </c>
      <c r="O140">
        <v>0</v>
      </c>
      <c r="P140">
        <v>0</v>
      </c>
      <c r="Q140">
        <v>0</v>
      </c>
      <c r="R140">
        <v>0</v>
      </c>
      <c r="S140">
        <v>0</v>
      </c>
      <c r="T140">
        <v>0</v>
      </c>
      <c r="U140">
        <v>0</v>
      </c>
      <c r="V140">
        <v>0</v>
      </c>
      <c r="W140">
        <v>0</v>
      </c>
      <c r="X140">
        <v>0</v>
      </c>
    </row>
    <row r="141" spans="1:24" x14ac:dyDescent="0.3">
      <c r="A141" t="s">
        <v>268</v>
      </c>
      <c r="B141" t="s">
        <v>271</v>
      </c>
      <c r="C141" t="s">
        <v>238</v>
      </c>
      <c r="D141">
        <v>0</v>
      </c>
      <c r="E141">
        <v>0</v>
      </c>
      <c r="F141">
        <v>0</v>
      </c>
      <c r="G141">
        <v>0</v>
      </c>
      <c r="H141">
        <v>0</v>
      </c>
      <c r="I141">
        <v>0</v>
      </c>
      <c r="J141">
        <v>0</v>
      </c>
      <c r="K141">
        <v>0</v>
      </c>
      <c r="L141">
        <v>0</v>
      </c>
      <c r="M141">
        <v>15</v>
      </c>
      <c r="N141">
        <v>1</v>
      </c>
      <c r="O141">
        <v>0</v>
      </c>
      <c r="P141">
        <v>0</v>
      </c>
      <c r="Q141">
        <v>0</v>
      </c>
      <c r="R141">
        <v>0</v>
      </c>
      <c r="S141">
        <v>0</v>
      </c>
      <c r="T141">
        <v>0</v>
      </c>
      <c r="U141">
        <v>0</v>
      </c>
      <c r="V141">
        <v>0</v>
      </c>
      <c r="W141">
        <v>0</v>
      </c>
      <c r="X141">
        <v>0</v>
      </c>
    </row>
    <row r="142" spans="1:24" x14ac:dyDescent="0.3">
      <c r="A142" t="s">
        <v>268</v>
      </c>
      <c r="B142" t="s">
        <v>272</v>
      </c>
      <c r="C142" t="s">
        <v>240</v>
      </c>
      <c r="D142">
        <v>0</v>
      </c>
      <c r="E142">
        <v>0</v>
      </c>
      <c r="F142">
        <v>0</v>
      </c>
      <c r="G142">
        <v>0</v>
      </c>
      <c r="H142">
        <v>0</v>
      </c>
      <c r="I142">
        <v>0</v>
      </c>
      <c r="J142">
        <v>0</v>
      </c>
      <c r="K142">
        <v>0</v>
      </c>
      <c r="L142">
        <v>0</v>
      </c>
      <c r="M142">
        <v>5</v>
      </c>
      <c r="N142">
        <v>0</v>
      </c>
      <c r="O142">
        <v>0</v>
      </c>
      <c r="P142">
        <v>0</v>
      </c>
      <c r="Q142">
        <v>0</v>
      </c>
      <c r="R142">
        <v>0</v>
      </c>
      <c r="S142">
        <v>0</v>
      </c>
      <c r="T142">
        <v>0</v>
      </c>
      <c r="U142">
        <v>0</v>
      </c>
      <c r="V142">
        <v>0</v>
      </c>
      <c r="W142">
        <v>0</v>
      </c>
      <c r="X142">
        <v>0</v>
      </c>
    </row>
    <row r="143" spans="1:24" x14ac:dyDescent="0.3">
      <c r="A143" t="s">
        <v>268</v>
      </c>
      <c r="B143" t="s">
        <v>273</v>
      </c>
      <c r="C143" t="s">
        <v>234</v>
      </c>
      <c r="D143">
        <v>150</v>
      </c>
      <c r="E143">
        <v>0</v>
      </c>
      <c r="F143">
        <v>0</v>
      </c>
      <c r="G143">
        <v>0</v>
      </c>
      <c r="H143">
        <v>0</v>
      </c>
      <c r="I143">
        <v>0</v>
      </c>
      <c r="J143">
        <v>0</v>
      </c>
      <c r="K143">
        <v>0</v>
      </c>
      <c r="L143">
        <v>0</v>
      </c>
      <c r="M143">
        <v>10</v>
      </c>
      <c r="N143">
        <v>0</v>
      </c>
      <c r="O143">
        <v>36</v>
      </c>
      <c r="P143">
        <v>12</v>
      </c>
      <c r="Q143">
        <v>0</v>
      </c>
      <c r="R143">
        <v>0</v>
      </c>
      <c r="S143">
        <v>36</v>
      </c>
      <c r="T143">
        <v>1</v>
      </c>
      <c r="U143">
        <v>0</v>
      </c>
      <c r="V143">
        <v>0</v>
      </c>
      <c r="W143">
        <v>0</v>
      </c>
      <c r="X143">
        <v>0</v>
      </c>
    </row>
    <row r="144" spans="1:24" x14ac:dyDescent="0.3">
      <c r="A144" t="s">
        <v>268</v>
      </c>
      <c r="B144" t="s">
        <v>274</v>
      </c>
      <c r="C144" t="s">
        <v>236</v>
      </c>
      <c r="D144">
        <v>180</v>
      </c>
      <c r="E144">
        <v>0</v>
      </c>
      <c r="F144">
        <v>0</v>
      </c>
      <c r="G144">
        <v>0</v>
      </c>
      <c r="H144">
        <v>0</v>
      </c>
      <c r="I144">
        <v>0</v>
      </c>
      <c r="J144">
        <v>0</v>
      </c>
      <c r="K144">
        <v>0</v>
      </c>
      <c r="L144">
        <v>0</v>
      </c>
      <c r="M144">
        <v>10</v>
      </c>
      <c r="N144">
        <v>0</v>
      </c>
      <c r="O144">
        <v>45</v>
      </c>
      <c r="P144">
        <v>15</v>
      </c>
      <c r="Q144">
        <v>0</v>
      </c>
      <c r="R144">
        <v>0</v>
      </c>
      <c r="S144">
        <v>45</v>
      </c>
      <c r="T144">
        <v>1</v>
      </c>
      <c r="U144">
        <v>0</v>
      </c>
      <c r="V144">
        <v>0</v>
      </c>
      <c r="W144">
        <v>0</v>
      </c>
      <c r="X144">
        <v>0</v>
      </c>
    </row>
    <row r="145" spans="1:24" x14ac:dyDescent="0.3">
      <c r="A145" t="s">
        <v>268</v>
      </c>
      <c r="B145" t="s">
        <v>275</v>
      </c>
      <c r="C145" t="s">
        <v>238</v>
      </c>
      <c r="D145">
        <v>220</v>
      </c>
      <c r="E145">
        <v>0</v>
      </c>
      <c r="F145">
        <v>0</v>
      </c>
      <c r="G145">
        <v>0</v>
      </c>
      <c r="H145">
        <v>0</v>
      </c>
      <c r="I145">
        <v>0</v>
      </c>
      <c r="J145">
        <v>0</v>
      </c>
      <c r="K145">
        <v>0</v>
      </c>
      <c r="L145">
        <v>0</v>
      </c>
      <c r="M145">
        <v>10</v>
      </c>
      <c r="N145">
        <v>1</v>
      </c>
      <c r="O145">
        <v>54</v>
      </c>
      <c r="P145">
        <v>18</v>
      </c>
      <c r="Q145">
        <v>0</v>
      </c>
      <c r="R145">
        <v>0</v>
      </c>
      <c r="S145">
        <v>54</v>
      </c>
      <c r="T145">
        <v>1</v>
      </c>
      <c r="U145">
        <v>0</v>
      </c>
      <c r="V145">
        <v>0</v>
      </c>
      <c r="W145">
        <v>0</v>
      </c>
      <c r="X145">
        <v>0</v>
      </c>
    </row>
    <row r="146" spans="1:24" x14ac:dyDescent="0.3">
      <c r="A146" t="s">
        <v>268</v>
      </c>
      <c r="B146" t="s">
        <v>276</v>
      </c>
      <c r="C146" t="s">
        <v>240</v>
      </c>
      <c r="D146">
        <v>110</v>
      </c>
      <c r="E146">
        <v>0</v>
      </c>
      <c r="F146">
        <v>0</v>
      </c>
      <c r="G146">
        <v>0</v>
      </c>
      <c r="H146">
        <v>0</v>
      </c>
      <c r="I146">
        <v>0</v>
      </c>
      <c r="J146">
        <v>0</v>
      </c>
      <c r="K146">
        <v>0</v>
      </c>
      <c r="L146">
        <v>0</v>
      </c>
      <c r="M146">
        <v>5</v>
      </c>
      <c r="N146">
        <v>0</v>
      </c>
      <c r="O146">
        <v>27</v>
      </c>
      <c r="P146">
        <v>9</v>
      </c>
      <c r="Q146">
        <v>0</v>
      </c>
      <c r="R146">
        <v>0</v>
      </c>
      <c r="S146">
        <v>27</v>
      </c>
      <c r="T146">
        <v>0</v>
      </c>
      <c r="U146">
        <v>0</v>
      </c>
      <c r="V146">
        <v>0</v>
      </c>
      <c r="W146">
        <v>0</v>
      </c>
      <c r="X146">
        <v>0</v>
      </c>
    </row>
    <row r="147" spans="1:24" x14ac:dyDescent="0.3">
      <c r="A147" t="s">
        <v>268</v>
      </c>
      <c r="B147" t="s">
        <v>277</v>
      </c>
      <c r="C147" t="s">
        <v>240</v>
      </c>
      <c r="D147">
        <v>0</v>
      </c>
      <c r="E147">
        <v>0</v>
      </c>
      <c r="F147">
        <v>0</v>
      </c>
      <c r="G147">
        <v>0</v>
      </c>
      <c r="H147">
        <v>0</v>
      </c>
      <c r="I147">
        <v>0</v>
      </c>
      <c r="J147">
        <v>0</v>
      </c>
      <c r="K147">
        <v>0</v>
      </c>
      <c r="L147">
        <v>0</v>
      </c>
      <c r="M147">
        <v>0</v>
      </c>
      <c r="N147">
        <v>0</v>
      </c>
      <c r="O147">
        <v>0</v>
      </c>
      <c r="P147">
        <v>0</v>
      </c>
      <c r="Q147">
        <v>0</v>
      </c>
      <c r="R147">
        <v>0</v>
      </c>
      <c r="S147">
        <v>0</v>
      </c>
      <c r="T147">
        <v>0</v>
      </c>
      <c r="U147">
        <v>0</v>
      </c>
      <c r="V147">
        <v>0</v>
      </c>
      <c r="W147">
        <v>0</v>
      </c>
      <c r="X147">
        <v>0</v>
      </c>
    </row>
    <row r="148" spans="1:24" x14ac:dyDescent="0.3">
      <c r="A148" t="s">
        <v>268</v>
      </c>
      <c r="B148" t="s">
        <v>278</v>
      </c>
      <c r="C148" t="s">
        <v>234</v>
      </c>
      <c r="D148">
        <v>0</v>
      </c>
      <c r="E148">
        <v>0</v>
      </c>
      <c r="F148">
        <v>0</v>
      </c>
      <c r="G148">
        <v>0</v>
      </c>
      <c r="H148">
        <v>0</v>
      </c>
      <c r="I148">
        <v>0</v>
      </c>
      <c r="J148">
        <v>0</v>
      </c>
      <c r="K148">
        <v>0</v>
      </c>
      <c r="L148">
        <v>0</v>
      </c>
      <c r="M148">
        <v>0</v>
      </c>
      <c r="N148">
        <v>0</v>
      </c>
      <c r="O148">
        <v>0</v>
      </c>
      <c r="P148">
        <v>0</v>
      </c>
      <c r="Q148">
        <v>0</v>
      </c>
      <c r="R148">
        <v>0</v>
      </c>
      <c r="S148">
        <v>0</v>
      </c>
      <c r="T148">
        <v>0</v>
      </c>
      <c r="U148">
        <v>0</v>
      </c>
      <c r="V148">
        <v>0</v>
      </c>
      <c r="W148">
        <v>0</v>
      </c>
      <c r="X148">
        <v>0</v>
      </c>
    </row>
    <row r="149" spans="1:24" x14ac:dyDescent="0.3">
      <c r="A149" t="s">
        <v>268</v>
      </c>
      <c r="B149" t="s">
        <v>279</v>
      </c>
      <c r="C149" t="s">
        <v>234</v>
      </c>
      <c r="D149">
        <v>0</v>
      </c>
      <c r="E149">
        <v>0</v>
      </c>
      <c r="F149">
        <v>0</v>
      </c>
      <c r="G149">
        <v>0</v>
      </c>
      <c r="H149">
        <v>0</v>
      </c>
      <c r="I149">
        <v>0</v>
      </c>
      <c r="J149">
        <v>0</v>
      </c>
      <c r="K149">
        <v>0</v>
      </c>
      <c r="L149">
        <v>0</v>
      </c>
      <c r="M149">
        <v>0</v>
      </c>
      <c r="N149">
        <v>0</v>
      </c>
      <c r="O149">
        <v>0</v>
      </c>
      <c r="P149">
        <v>0</v>
      </c>
      <c r="Q149">
        <v>0</v>
      </c>
      <c r="R149">
        <v>0</v>
      </c>
      <c r="S149">
        <v>0</v>
      </c>
      <c r="T149">
        <v>0</v>
      </c>
      <c r="U149">
        <v>0</v>
      </c>
      <c r="V149">
        <v>0</v>
      </c>
      <c r="W149">
        <v>0</v>
      </c>
      <c r="X149">
        <v>0</v>
      </c>
    </row>
    <row r="150" spans="1:24" x14ac:dyDescent="0.3">
      <c r="A150" t="s">
        <v>268</v>
      </c>
      <c r="B150" t="s">
        <v>280</v>
      </c>
      <c r="C150" t="s">
        <v>240</v>
      </c>
      <c r="D150">
        <v>170</v>
      </c>
      <c r="E150">
        <v>80</v>
      </c>
      <c r="F150">
        <v>9</v>
      </c>
      <c r="G150">
        <v>13</v>
      </c>
      <c r="H150">
        <v>5</v>
      </c>
      <c r="I150">
        <v>24</v>
      </c>
      <c r="J150">
        <v>0</v>
      </c>
      <c r="K150">
        <v>25</v>
      </c>
      <c r="L150">
        <v>9</v>
      </c>
      <c r="M150">
        <v>115</v>
      </c>
      <c r="N150">
        <v>5</v>
      </c>
      <c r="O150">
        <v>15</v>
      </c>
      <c r="P150">
        <v>5</v>
      </c>
      <c r="Q150">
        <v>1</v>
      </c>
      <c r="R150">
        <v>3</v>
      </c>
      <c r="S150">
        <v>12</v>
      </c>
      <c r="T150">
        <v>9</v>
      </c>
      <c r="U150">
        <v>8</v>
      </c>
      <c r="V150">
        <v>0</v>
      </c>
      <c r="W150">
        <v>30</v>
      </c>
      <c r="X150">
        <v>0</v>
      </c>
    </row>
    <row r="151" spans="1:24" x14ac:dyDescent="0.3">
      <c r="A151" t="s">
        <v>268</v>
      </c>
      <c r="B151" t="s">
        <v>281</v>
      </c>
      <c r="C151" t="s">
        <v>234</v>
      </c>
      <c r="D151">
        <v>210</v>
      </c>
      <c r="E151">
        <v>90</v>
      </c>
      <c r="F151">
        <v>10</v>
      </c>
      <c r="G151">
        <v>16</v>
      </c>
      <c r="H151">
        <v>6</v>
      </c>
      <c r="I151">
        <v>30</v>
      </c>
      <c r="J151">
        <v>0</v>
      </c>
      <c r="K151">
        <v>30</v>
      </c>
      <c r="L151">
        <v>11</v>
      </c>
      <c r="M151">
        <v>140</v>
      </c>
      <c r="N151">
        <v>6</v>
      </c>
      <c r="O151">
        <v>18</v>
      </c>
      <c r="P151">
        <v>6</v>
      </c>
      <c r="Q151">
        <v>1</v>
      </c>
      <c r="R151">
        <v>4</v>
      </c>
      <c r="S151">
        <v>15</v>
      </c>
      <c r="T151">
        <v>11</v>
      </c>
      <c r="U151">
        <v>10</v>
      </c>
      <c r="V151">
        <v>0</v>
      </c>
      <c r="W151">
        <v>35</v>
      </c>
      <c r="X151">
        <v>0</v>
      </c>
    </row>
    <row r="152" spans="1:24" x14ac:dyDescent="0.3">
      <c r="A152" t="s">
        <v>268</v>
      </c>
      <c r="B152" t="s">
        <v>282</v>
      </c>
      <c r="C152" t="s">
        <v>283</v>
      </c>
      <c r="D152">
        <v>280</v>
      </c>
      <c r="E152">
        <v>120</v>
      </c>
      <c r="F152">
        <v>14</v>
      </c>
      <c r="G152">
        <v>21</v>
      </c>
      <c r="H152">
        <v>8</v>
      </c>
      <c r="I152">
        <v>39</v>
      </c>
      <c r="J152">
        <v>0</v>
      </c>
      <c r="K152">
        <v>40</v>
      </c>
      <c r="L152">
        <v>14</v>
      </c>
      <c r="M152">
        <v>180</v>
      </c>
      <c r="N152">
        <v>8</v>
      </c>
      <c r="O152">
        <v>24</v>
      </c>
      <c r="P152">
        <v>8</v>
      </c>
      <c r="Q152">
        <v>1</v>
      </c>
      <c r="R152">
        <v>6</v>
      </c>
      <c r="S152">
        <v>20</v>
      </c>
      <c r="T152">
        <v>15</v>
      </c>
      <c r="U152">
        <v>15</v>
      </c>
      <c r="V152">
        <v>0</v>
      </c>
      <c r="W152">
        <v>50</v>
      </c>
      <c r="X152">
        <v>2</v>
      </c>
    </row>
    <row r="153" spans="1:24" x14ac:dyDescent="0.3">
      <c r="A153" t="s">
        <v>268</v>
      </c>
      <c r="B153" t="s">
        <v>284</v>
      </c>
      <c r="C153" t="s">
        <v>240</v>
      </c>
      <c r="D153">
        <v>270</v>
      </c>
      <c r="E153">
        <v>80</v>
      </c>
      <c r="F153">
        <v>9</v>
      </c>
      <c r="G153">
        <v>13</v>
      </c>
      <c r="H153">
        <v>5</v>
      </c>
      <c r="I153">
        <v>24</v>
      </c>
      <c r="J153">
        <v>0</v>
      </c>
      <c r="K153">
        <v>25</v>
      </c>
      <c r="L153">
        <v>9</v>
      </c>
      <c r="M153">
        <v>115</v>
      </c>
      <c r="N153">
        <v>5</v>
      </c>
      <c r="O153">
        <v>40</v>
      </c>
      <c r="P153">
        <v>13</v>
      </c>
      <c r="Q153">
        <v>1</v>
      </c>
      <c r="R153">
        <v>3</v>
      </c>
      <c r="S153">
        <v>38</v>
      </c>
      <c r="T153">
        <v>9</v>
      </c>
      <c r="U153">
        <v>8</v>
      </c>
      <c r="V153">
        <v>0</v>
      </c>
      <c r="W153">
        <v>30</v>
      </c>
      <c r="X153">
        <v>0</v>
      </c>
    </row>
    <row r="154" spans="1:24" x14ac:dyDescent="0.3">
      <c r="A154" t="s">
        <v>268</v>
      </c>
      <c r="B154" t="s">
        <v>285</v>
      </c>
      <c r="C154" t="s">
        <v>234</v>
      </c>
      <c r="D154">
        <v>340</v>
      </c>
      <c r="E154">
        <v>90</v>
      </c>
      <c r="F154">
        <v>10</v>
      </c>
      <c r="G154">
        <v>16</v>
      </c>
      <c r="H154">
        <v>6</v>
      </c>
      <c r="I154">
        <v>30</v>
      </c>
      <c r="J154">
        <v>0</v>
      </c>
      <c r="K154">
        <v>30</v>
      </c>
      <c r="L154">
        <v>11</v>
      </c>
      <c r="M154">
        <v>140</v>
      </c>
      <c r="N154">
        <v>6</v>
      </c>
      <c r="O154">
        <v>50</v>
      </c>
      <c r="P154">
        <v>17</v>
      </c>
      <c r="Q154">
        <v>1</v>
      </c>
      <c r="R154">
        <v>4</v>
      </c>
      <c r="S154">
        <v>48</v>
      </c>
      <c r="T154">
        <v>11</v>
      </c>
      <c r="U154">
        <v>10</v>
      </c>
      <c r="V154">
        <v>0</v>
      </c>
      <c r="W154">
        <v>35</v>
      </c>
      <c r="X154">
        <v>0</v>
      </c>
    </row>
    <row r="155" spans="1:24" x14ac:dyDescent="0.3">
      <c r="A155" t="s">
        <v>268</v>
      </c>
      <c r="B155" t="s">
        <v>286</v>
      </c>
      <c r="C155" t="s">
        <v>283</v>
      </c>
      <c r="D155">
        <v>430</v>
      </c>
      <c r="E155">
        <v>120</v>
      </c>
      <c r="F155">
        <v>14</v>
      </c>
      <c r="G155">
        <v>21</v>
      </c>
      <c r="H155">
        <v>8</v>
      </c>
      <c r="I155">
        <v>39</v>
      </c>
      <c r="J155">
        <v>0</v>
      </c>
      <c r="K155">
        <v>40</v>
      </c>
      <c r="L155">
        <v>14</v>
      </c>
      <c r="M155">
        <v>180</v>
      </c>
      <c r="N155">
        <v>8</v>
      </c>
      <c r="O155">
        <v>62</v>
      </c>
      <c r="P155">
        <v>21</v>
      </c>
      <c r="Q155">
        <v>1</v>
      </c>
      <c r="R155">
        <v>6</v>
      </c>
      <c r="S155">
        <v>59</v>
      </c>
      <c r="T155">
        <v>15</v>
      </c>
      <c r="U155">
        <v>15</v>
      </c>
      <c r="V155">
        <v>0</v>
      </c>
      <c r="W155">
        <v>50</v>
      </c>
      <c r="X155">
        <v>2</v>
      </c>
    </row>
    <row r="156" spans="1:24" x14ac:dyDescent="0.3">
      <c r="A156" t="s">
        <v>268</v>
      </c>
      <c r="B156" t="s">
        <v>287</v>
      </c>
      <c r="C156" t="s">
        <v>240</v>
      </c>
      <c r="D156">
        <v>270</v>
      </c>
      <c r="E156">
        <v>80</v>
      </c>
      <c r="F156">
        <v>9</v>
      </c>
      <c r="G156">
        <v>13</v>
      </c>
      <c r="H156">
        <v>5</v>
      </c>
      <c r="I156">
        <v>24</v>
      </c>
      <c r="J156">
        <v>0</v>
      </c>
      <c r="K156">
        <v>25</v>
      </c>
      <c r="L156">
        <v>9</v>
      </c>
      <c r="M156">
        <v>115</v>
      </c>
      <c r="N156">
        <v>5</v>
      </c>
      <c r="O156">
        <v>40</v>
      </c>
      <c r="P156">
        <v>13</v>
      </c>
      <c r="Q156">
        <v>1</v>
      </c>
      <c r="R156">
        <v>3</v>
      </c>
      <c r="S156">
        <v>38</v>
      </c>
      <c r="T156">
        <v>9</v>
      </c>
      <c r="U156">
        <v>8</v>
      </c>
      <c r="V156">
        <v>0</v>
      </c>
      <c r="W156">
        <v>30</v>
      </c>
      <c r="X156">
        <v>0</v>
      </c>
    </row>
    <row r="157" spans="1:24" x14ac:dyDescent="0.3">
      <c r="A157" t="s">
        <v>268</v>
      </c>
      <c r="B157" t="s">
        <v>288</v>
      </c>
      <c r="C157" t="s">
        <v>234</v>
      </c>
      <c r="D157">
        <v>330</v>
      </c>
      <c r="E157">
        <v>90</v>
      </c>
      <c r="F157">
        <v>10</v>
      </c>
      <c r="G157">
        <v>16</v>
      </c>
      <c r="H157">
        <v>6</v>
      </c>
      <c r="I157">
        <v>30</v>
      </c>
      <c r="J157">
        <v>0</v>
      </c>
      <c r="K157">
        <v>30</v>
      </c>
      <c r="L157">
        <v>11</v>
      </c>
      <c r="M157">
        <v>140</v>
      </c>
      <c r="N157">
        <v>6</v>
      </c>
      <c r="O157">
        <v>50</v>
      </c>
      <c r="P157">
        <v>17</v>
      </c>
      <c r="Q157">
        <v>1</v>
      </c>
      <c r="R157">
        <v>4</v>
      </c>
      <c r="S157">
        <v>47</v>
      </c>
      <c r="T157">
        <v>11</v>
      </c>
      <c r="U157">
        <v>10</v>
      </c>
      <c r="V157">
        <v>0</v>
      </c>
      <c r="W157">
        <v>35</v>
      </c>
      <c r="X157">
        <v>0</v>
      </c>
    </row>
    <row r="158" spans="1:24" x14ac:dyDescent="0.3">
      <c r="A158" t="s">
        <v>268</v>
      </c>
      <c r="B158" t="s">
        <v>289</v>
      </c>
      <c r="C158" t="s">
        <v>283</v>
      </c>
      <c r="D158">
        <v>430</v>
      </c>
      <c r="E158">
        <v>120</v>
      </c>
      <c r="F158">
        <v>14</v>
      </c>
      <c r="G158">
        <v>21</v>
      </c>
      <c r="H158">
        <v>8</v>
      </c>
      <c r="I158">
        <v>39</v>
      </c>
      <c r="J158">
        <v>0</v>
      </c>
      <c r="K158">
        <v>40</v>
      </c>
      <c r="L158">
        <v>14</v>
      </c>
      <c r="M158">
        <v>180</v>
      </c>
      <c r="N158">
        <v>8</v>
      </c>
      <c r="O158">
        <v>62</v>
      </c>
      <c r="P158">
        <v>21</v>
      </c>
      <c r="Q158">
        <v>1</v>
      </c>
      <c r="R158">
        <v>6</v>
      </c>
      <c r="S158">
        <v>58</v>
      </c>
      <c r="T158">
        <v>15</v>
      </c>
      <c r="U158">
        <v>15</v>
      </c>
      <c r="V158">
        <v>0</v>
      </c>
      <c r="W158">
        <v>50</v>
      </c>
      <c r="X158">
        <v>2</v>
      </c>
    </row>
    <row r="159" spans="1:24" x14ac:dyDescent="0.3">
      <c r="A159" t="s">
        <v>268</v>
      </c>
      <c r="B159" t="s">
        <v>290</v>
      </c>
      <c r="C159" t="s">
        <v>240</v>
      </c>
      <c r="D159">
        <v>260</v>
      </c>
      <c r="E159">
        <v>80</v>
      </c>
      <c r="F159">
        <v>9</v>
      </c>
      <c r="G159">
        <v>13</v>
      </c>
      <c r="H159">
        <v>5</v>
      </c>
      <c r="I159">
        <v>24</v>
      </c>
      <c r="J159">
        <v>0</v>
      </c>
      <c r="K159">
        <v>25</v>
      </c>
      <c r="L159">
        <v>9</v>
      </c>
      <c r="M159">
        <v>115</v>
      </c>
      <c r="N159">
        <v>5</v>
      </c>
      <c r="O159">
        <v>38</v>
      </c>
      <c r="P159">
        <v>13</v>
      </c>
      <c r="Q159">
        <v>1</v>
      </c>
      <c r="R159">
        <v>3</v>
      </c>
      <c r="S159">
        <v>36</v>
      </c>
      <c r="T159">
        <v>9</v>
      </c>
      <c r="U159">
        <v>8</v>
      </c>
      <c r="V159">
        <v>0</v>
      </c>
      <c r="W159">
        <v>30</v>
      </c>
      <c r="X159">
        <v>0</v>
      </c>
    </row>
    <row r="160" spans="1:24" x14ac:dyDescent="0.3">
      <c r="A160" t="s">
        <v>268</v>
      </c>
      <c r="B160" t="s">
        <v>291</v>
      </c>
      <c r="C160" t="s">
        <v>234</v>
      </c>
      <c r="D160">
        <v>330</v>
      </c>
      <c r="E160">
        <v>90</v>
      </c>
      <c r="F160">
        <v>10</v>
      </c>
      <c r="G160">
        <v>16</v>
      </c>
      <c r="H160">
        <v>6</v>
      </c>
      <c r="I160">
        <v>30</v>
      </c>
      <c r="J160">
        <v>0</v>
      </c>
      <c r="K160">
        <v>30</v>
      </c>
      <c r="L160">
        <v>11</v>
      </c>
      <c r="M160">
        <v>140</v>
      </c>
      <c r="N160">
        <v>6</v>
      </c>
      <c r="O160">
        <v>48</v>
      </c>
      <c r="P160">
        <v>16</v>
      </c>
      <c r="Q160">
        <v>1</v>
      </c>
      <c r="R160">
        <v>4</v>
      </c>
      <c r="S160">
        <v>45</v>
      </c>
      <c r="T160">
        <v>11</v>
      </c>
      <c r="U160">
        <v>10</v>
      </c>
      <c r="V160">
        <v>0</v>
      </c>
      <c r="W160">
        <v>35</v>
      </c>
      <c r="X160">
        <v>2</v>
      </c>
    </row>
    <row r="161" spans="1:24" x14ac:dyDescent="0.3">
      <c r="A161" t="s">
        <v>268</v>
      </c>
      <c r="B161" t="s">
        <v>292</v>
      </c>
      <c r="C161" t="s">
        <v>283</v>
      </c>
      <c r="D161">
        <v>420</v>
      </c>
      <c r="E161">
        <v>120</v>
      </c>
      <c r="F161">
        <v>14</v>
      </c>
      <c r="G161">
        <v>21</v>
      </c>
      <c r="H161">
        <v>8</v>
      </c>
      <c r="I161">
        <v>39</v>
      </c>
      <c r="J161">
        <v>0</v>
      </c>
      <c r="K161">
        <v>40</v>
      </c>
      <c r="L161">
        <v>14</v>
      </c>
      <c r="M161">
        <v>190</v>
      </c>
      <c r="N161">
        <v>8</v>
      </c>
      <c r="O161">
        <v>60</v>
      </c>
      <c r="P161">
        <v>20</v>
      </c>
      <c r="Q161">
        <v>1</v>
      </c>
      <c r="R161">
        <v>6</v>
      </c>
      <c r="S161">
        <v>56</v>
      </c>
      <c r="T161">
        <v>15</v>
      </c>
      <c r="U161">
        <v>15</v>
      </c>
      <c r="V161">
        <v>0</v>
      </c>
      <c r="W161">
        <v>50</v>
      </c>
      <c r="X161">
        <v>2</v>
      </c>
    </row>
    <row r="162" spans="1:24" x14ac:dyDescent="0.3">
      <c r="A162" t="s">
        <v>268</v>
      </c>
      <c r="B162" t="s">
        <v>293</v>
      </c>
      <c r="C162" t="s">
        <v>240</v>
      </c>
      <c r="D162">
        <v>210</v>
      </c>
      <c r="E162">
        <v>80</v>
      </c>
      <c r="F162">
        <v>9</v>
      </c>
      <c r="G162">
        <v>13</v>
      </c>
      <c r="H162">
        <v>5</v>
      </c>
      <c r="I162">
        <v>24</v>
      </c>
      <c r="J162">
        <v>0</v>
      </c>
      <c r="K162">
        <v>25</v>
      </c>
      <c r="L162">
        <v>9</v>
      </c>
      <c r="M162">
        <v>150</v>
      </c>
      <c r="N162">
        <v>6</v>
      </c>
      <c r="O162">
        <v>24</v>
      </c>
      <c r="P162">
        <v>8</v>
      </c>
      <c r="Q162">
        <v>1</v>
      </c>
      <c r="R162">
        <v>4</v>
      </c>
      <c r="S162">
        <v>12</v>
      </c>
      <c r="T162">
        <v>9</v>
      </c>
      <c r="U162">
        <v>8</v>
      </c>
      <c r="V162">
        <v>0</v>
      </c>
      <c r="W162">
        <v>30</v>
      </c>
      <c r="X162">
        <v>0</v>
      </c>
    </row>
    <row r="163" spans="1:24" x14ac:dyDescent="0.3">
      <c r="A163" t="s">
        <v>268</v>
      </c>
      <c r="B163" t="s">
        <v>294</v>
      </c>
      <c r="C163" t="s">
        <v>234</v>
      </c>
      <c r="D163">
        <v>260</v>
      </c>
      <c r="E163">
        <v>90</v>
      </c>
      <c r="F163">
        <v>10</v>
      </c>
      <c r="G163">
        <v>16</v>
      </c>
      <c r="H163">
        <v>6</v>
      </c>
      <c r="I163">
        <v>30</v>
      </c>
      <c r="J163">
        <v>0</v>
      </c>
      <c r="K163">
        <v>30</v>
      </c>
      <c r="L163">
        <v>11</v>
      </c>
      <c r="M163">
        <v>190</v>
      </c>
      <c r="N163">
        <v>8</v>
      </c>
      <c r="O163">
        <v>29</v>
      </c>
      <c r="P163">
        <v>10</v>
      </c>
      <c r="Q163">
        <v>1</v>
      </c>
      <c r="R163">
        <v>5</v>
      </c>
      <c r="S163">
        <v>15</v>
      </c>
      <c r="T163">
        <v>12</v>
      </c>
      <c r="U163">
        <v>10</v>
      </c>
      <c r="V163">
        <v>0</v>
      </c>
      <c r="W163">
        <v>35</v>
      </c>
      <c r="X163">
        <v>0</v>
      </c>
    </row>
    <row r="164" spans="1:24" x14ac:dyDescent="0.3">
      <c r="A164" t="s">
        <v>268</v>
      </c>
      <c r="B164" t="s">
        <v>295</v>
      </c>
      <c r="C164" t="s">
        <v>283</v>
      </c>
      <c r="D164">
        <v>330</v>
      </c>
      <c r="E164">
        <v>120</v>
      </c>
      <c r="F164">
        <v>14</v>
      </c>
      <c r="G164">
        <v>21</v>
      </c>
      <c r="H164">
        <v>8</v>
      </c>
      <c r="I164">
        <v>39</v>
      </c>
      <c r="J164">
        <v>0</v>
      </c>
      <c r="K164">
        <v>40</v>
      </c>
      <c r="L164">
        <v>14</v>
      </c>
      <c r="M164">
        <v>240</v>
      </c>
      <c r="N164">
        <v>10</v>
      </c>
      <c r="O164">
        <v>37</v>
      </c>
      <c r="P164">
        <v>12</v>
      </c>
      <c r="Q164">
        <v>2</v>
      </c>
      <c r="R164">
        <v>7</v>
      </c>
      <c r="S164">
        <v>20</v>
      </c>
      <c r="T164">
        <v>15</v>
      </c>
      <c r="U164">
        <v>15</v>
      </c>
      <c r="V164">
        <v>0</v>
      </c>
      <c r="W164">
        <v>50</v>
      </c>
      <c r="X164">
        <v>2</v>
      </c>
    </row>
    <row r="165" spans="1:24" x14ac:dyDescent="0.3">
      <c r="A165" t="s">
        <v>268</v>
      </c>
      <c r="B165" t="s">
        <v>296</v>
      </c>
      <c r="C165" t="s">
        <v>240</v>
      </c>
      <c r="D165">
        <v>100</v>
      </c>
      <c r="E165">
        <v>0</v>
      </c>
      <c r="F165">
        <v>0</v>
      </c>
      <c r="G165">
        <v>0</v>
      </c>
      <c r="H165">
        <v>0</v>
      </c>
      <c r="I165">
        <v>0</v>
      </c>
      <c r="J165">
        <v>0</v>
      </c>
      <c r="K165">
        <v>5</v>
      </c>
      <c r="L165">
        <v>2</v>
      </c>
      <c r="M165">
        <v>110</v>
      </c>
      <c r="N165">
        <v>5</v>
      </c>
      <c r="O165">
        <v>15</v>
      </c>
      <c r="P165">
        <v>5</v>
      </c>
      <c r="Q165">
        <v>1</v>
      </c>
      <c r="R165">
        <v>3</v>
      </c>
      <c r="S165">
        <v>13</v>
      </c>
      <c r="T165">
        <v>10</v>
      </c>
      <c r="U165">
        <v>10</v>
      </c>
      <c r="V165">
        <v>0</v>
      </c>
      <c r="W165">
        <v>30</v>
      </c>
      <c r="X165">
        <v>0</v>
      </c>
    </row>
    <row r="166" spans="1:24" x14ac:dyDescent="0.3">
      <c r="A166" t="s">
        <v>268</v>
      </c>
      <c r="B166" t="s">
        <v>297</v>
      </c>
      <c r="C166" t="s">
        <v>234</v>
      </c>
      <c r="D166">
        <v>130</v>
      </c>
      <c r="E166">
        <v>0</v>
      </c>
      <c r="F166">
        <v>0</v>
      </c>
      <c r="G166">
        <v>0</v>
      </c>
      <c r="H166">
        <v>0</v>
      </c>
      <c r="I166">
        <v>0</v>
      </c>
      <c r="J166">
        <v>0</v>
      </c>
      <c r="K166">
        <v>5</v>
      </c>
      <c r="L166">
        <v>2</v>
      </c>
      <c r="M166">
        <v>135</v>
      </c>
      <c r="N166">
        <v>6</v>
      </c>
      <c r="O166">
        <v>19</v>
      </c>
      <c r="P166">
        <v>6</v>
      </c>
      <c r="Q166">
        <v>1</v>
      </c>
      <c r="R166">
        <v>4</v>
      </c>
      <c r="S166">
        <v>16</v>
      </c>
      <c r="T166">
        <v>12</v>
      </c>
      <c r="U166">
        <v>15</v>
      </c>
      <c r="V166">
        <v>0</v>
      </c>
      <c r="W166">
        <v>40</v>
      </c>
      <c r="X166">
        <v>0</v>
      </c>
    </row>
    <row r="167" spans="1:24" x14ac:dyDescent="0.3">
      <c r="A167" t="s">
        <v>268</v>
      </c>
      <c r="B167" t="s">
        <v>298</v>
      </c>
      <c r="C167" t="s">
        <v>283</v>
      </c>
      <c r="D167">
        <v>170</v>
      </c>
      <c r="E167">
        <v>0</v>
      </c>
      <c r="F167">
        <v>0.5</v>
      </c>
      <c r="G167">
        <v>1</v>
      </c>
      <c r="H167">
        <v>0</v>
      </c>
      <c r="I167">
        <v>0</v>
      </c>
      <c r="J167">
        <v>0</v>
      </c>
      <c r="K167">
        <v>10</v>
      </c>
      <c r="L167">
        <v>3</v>
      </c>
      <c r="M167">
        <v>180</v>
      </c>
      <c r="N167">
        <v>7</v>
      </c>
      <c r="O167">
        <v>25</v>
      </c>
      <c r="P167">
        <v>8</v>
      </c>
      <c r="Q167">
        <v>1</v>
      </c>
      <c r="R167">
        <v>6</v>
      </c>
      <c r="S167">
        <v>21</v>
      </c>
      <c r="T167">
        <v>16</v>
      </c>
      <c r="U167">
        <v>15</v>
      </c>
      <c r="V167">
        <v>0</v>
      </c>
      <c r="W167">
        <v>50</v>
      </c>
      <c r="X167">
        <v>2</v>
      </c>
    </row>
    <row r="168" spans="1:24" x14ac:dyDescent="0.3">
      <c r="A168" t="s">
        <v>268</v>
      </c>
      <c r="B168" t="s">
        <v>299</v>
      </c>
      <c r="C168" t="s">
        <v>240</v>
      </c>
      <c r="D168">
        <v>200</v>
      </c>
      <c r="E168">
        <v>0</v>
      </c>
      <c r="F168">
        <v>0</v>
      </c>
      <c r="G168">
        <v>0</v>
      </c>
      <c r="H168">
        <v>0</v>
      </c>
      <c r="I168">
        <v>0</v>
      </c>
      <c r="J168">
        <v>0</v>
      </c>
      <c r="K168">
        <v>5</v>
      </c>
      <c r="L168">
        <v>2</v>
      </c>
      <c r="M168">
        <v>110</v>
      </c>
      <c r="N168">
        <v>5</v>
      </c>
      <c r="O168">
        <v>41</v>
      </c>
      <c r="P168">
        <v>14</v>
      </c>
      <c r="Q168">
        <v>1</v>
      </c>
      <c r="R168">
        <v>3</v>
      </c>
      <c r="S168">
        <v>39</v>
      </c>
      <c r="T168">
        <v>10</v>
      </c>
      <c r="U168">
        <v>10</v>
      </c>
      <c r="V168">
        <v>0</v>
      </c>
      <c r="W168">
        <v>30</v>
      </c>
      <c r="X168">
        <v>0</v>
      </c>
    </row>
    <row r="169" spans="1:24" x14ac:dyDescent="0.3">
      <c r="A169" t="s">
        <v>268</v>
      </c>
      <c r="B169" t="s">
        <v>300</v>
      </c>
      <c r="C169" t="s">
        <v>234</v>
      </c>
      <c r="D169">
        <v>250</v>
      </c>
      <c r="E169">
        <v>0</v>
      </c>
      <c r="F169">
        <v>0</v>
      </c>
      <c r="G169">
        <v>0</v>
      </c>
      <c r="H169">
        <v>0</v>
      </c>
      <c r="I169">
        <v>0</v>
      </c>
      <c r="J169">
        <v>0</v>
      </c>
      <c r="K169">
        <v>5</v>
      </c>
      <c r="L169">
        <v>2</v>
      </c>
      <c r="M169">
        <v>135</v>
      </c>
      <c r="N169">
        <v>6</v>
      </c>
      <c r="O169">
        <v>51</v>
      </c>
      <c r="P169">
        <v>17</v>
      </c>
      <c r="Q169">
        <v>1</v>
      </c>
      <c r="R169">
        <v>4</v>
      </c>
      <c r="S169">
        <v>48</v>
      </c>
      <c r="T169">
        <v>12</v>
      </c>
      <c r="U169">
        <v>15</v>
      </c>
      <c r="V169">
        <v>0</v>
      </c>
      <c r="W169">
        <v>40</v>
      </c>
      <c r="X169">
        <v>0</v>
      </c>
    </row>
    <row r="170" spans="1:24" x14ac:dyDescent="0.3">
      <c r="A170" t="s">
        <v>268</v>
      </c>
      <c r="B170" t="s">
        <v>301</v>
      </c>
      <c r="C170" t="s">
        <v>283</v>
      </c>
      <c r="D170">
        <v>310</v>
      </c>
      <c r="E170">
        <v>0</v>
      </c>
      <c r="F170">
        <v>0.5</v>
      </c>
      <c r="G170">
        <v>1</v>
      </c>
      <c r="H170">
        <v>0</v>
      </c>
      <c r="I170">
        <v>0</v>
      </c>
      <c r="J170">
        <v>0</v>
      </c>
      <c r="K170">
        <v>10</v>
      </c>
      <c r="L170">
        <v>3</v>
      </c>
      <c r="M170">
        <v>180</v>
      </c>
      <c r="N170">
        <v>7</v>
      </c>
      <c r="O170">
        <v>63</v>
      </c>
      <c r="P170">
        <v>21</v>
      </c>
      <c r="Q170">
        <v>1</v>
      </c>
      <c r="R170">
        <v>6</v>
      </c>
      <c r="S170">
        <v>59</v>
      </c>
      <c r="T170">
        <v>16</v>
      </c>
      <c r="U170">
        <v>15</v>
      </c>
      <c r="V170">
        <v>0</v>
      </c>
      <c r="W170">
        <v>50</v>
      </c>
      <c r="X170">
        <v>2</v>
      </c>
    </row>
    <row r="171" spans="1:24" x14ac:dyDescent="0.3">
      <c r="A171" t="s">
        <v>268</v>
      </c>
      <c r="B171" t="s">
        <v>302</v>
      </c>
      <c r="C171" t="s">
        <v>240</v>
      </c>
      <c r="D171">
        <v>200</v>
      </c>
      <c r="E171">
        <v>0</v>
      </c>
      <c r="F171">
        <v>0</v>
      </c>
      <c r="G171">
        <v>0</v>
      </c>
      <c r="H171">
        <v>0</v>
      </c>
      <c r="I171">
        <v>0</v>
      </c>
      <c r="J171">
        <v>0</v>
      </c>
      <c r="K171">
        <v>5</v>
      </c>
      <c r="L171">
        <v>2</v>
      </c>
      <c r="M171">
        <v>110</v>
      </c>
      <c r="N171">
        <v>5</v>
      </c>
      <c r="O171">
        <v>40</v>
      </c>
      <c r="P171">
        <v>13</v>
      </c>
      <c r="Q171">
        <v>1</v>
      </c>
      <c r="R171">
        <v>3</v>
      </c>
      <c r="S171">
        <v>38</v>
      </c>
      <c r="T171">
        <v>10</v>
      </c>
      <c r="U171">
        <v>10</v>
      </c>
      <c r="V171">
        <v>0</v>
      </c>
      <c r="W171">
        <v>30</v>
      </c>
      <c r="X171">
        <v>0</v>
      </c>
    </row>
    <row r="172" spans="1:24" x14ac:dyDescent="0.3">
      <c r="A172" t="s">
        <v>268</v>
      </c>
      <c r="B172" t="s">
        <v>303</v>
      </c>
      <c r="C172" t="s">
        <v>234</v>
      </c>
      <c r="D172">
        <v>250</v>
      </c>
      <c r="E172">
        <v>0</v>
      </c>
      <c r="F172">
        <v>0</v>
      </c>
      <c r="G172">
        <v>0</v>
      </c>
      <c r="H172">
        <v>0</v>
      </c>
      <c r="I172">
        <v>0</v>
      </c>
      <c r="J172">
        <v>0</v>
      </c>
      <c r="K172">
        <v>5</v>
      </c>
      <c r="L172">
        <v>2</v>
      </c>
      <c r="M172">
        <v>135</v>
      </c>
      <c r="N172">
        <v>6</v>
      </c>
      <c r="O172">
        <v>51</v>
      </c>
      <c r="P172">
        <v>17</v>
      </c>
      <c r="Q172">
        <v>1</v>
      </c>
      <c r="R172">
        <v>4</v>
      </c>
      <c r="S172">
        <v>48</v>
      </c>
      <c r="T172">
        <v>12</v>
      </c>
      <c r="U172">
        <v>15</v>
      </c>
      <c r="V172">
        <v>0</v>
      </c>
      <c r="W172">
        <v>40</v>
      </c>
      <c r="X172">
        <v>0</v>
      </c>
    </row>
    <row r="173" spans="1:24" x14ac:dyDescent="0.3">
      <c r="A173" t="s">
        <v>268</v>
      </c>
      <c r="B173" t="s">
        <v>304</v>
      </c>
      <c r="C173" t="s">
        <v>283</v>
      </c>
      <c r="D173">
        <v>310</v>
      </c>
      <c r="E173">
        <v>0</v>
      </c>
      <c r="F173">
        <v>0.5</v>
      </c>
      <c r="G173">
        <v>1</v>
      </c>
      <c r="H173">
        <v>0</v>
      </c>
      <c r="I173">
        <v>0</v>
      </c>
      <c r="J173">
        <v>0</v>
      </c>
      <c r="K173">
        <v>10</v>
      </c>
      <c r="L173">
        <v>3</v>
      </c>
      <c r="M173">
        <v>180</v>
      </c>
      <c r="N173">
        <v>7</v>
      </c>
      <c r="O173">
        <v>63</v>
      </c>
      <c r="P173">
        <v>21</v>
      </c>
      <c r="Q173">
        <v>1</v>
      </c>
      <c r="R173">
        <v>6</v>
      </c>
      <c r="S173">
        <v>59</v>
      </c>
      <c r="T173">
        <v>16</v>
      </c>
      <c r="U173">
        <v>15</v>
      </c>
      <c r="V173">
        <v>0</v>
      </c>
      <c r="W173">
        <v>50</v>
      </c>
      <c r="X173">
        <v>2</v>
      </c>
    </row>
    <row r="174" spans="1:24" x14ac:dyDescent="0.3">
      <c r="A174" t="s">
        <v>268</v>
      </c>
      <c r="B174" t="s">
        <v>305</v>
      </c>
      <c r="C174" t="s">
        <v>240</v>
      </c>
      <c r="D174">
        <v>190</v>
      </c>
      <c r="E174">
        <v>0</v>
      </c>
      <c r="F174">
        <v>0</v>
      </c>
      <c r="G174">
        <v>0</v>
      </c>
      <c r="H174">
        <v>0</v>
      </c>
      <c r="I174">
        <v>0</v>
      </c>
      <c r="J174">
        <v>0</v>
      </c>
      <c r="K174">
        <v>5</v>
      </c>
      <c r="L174">
        <v>2</v>
      </c>
      <c r="M174">
        <v>115</v>
      </c>
      <c r="N174">
        <v>5</v>
      </c>
      <c r="O174">
        <v>39</v>
      </c>
      <c r="P174">
        <v>13</v>
      </c>
      <c r="Q174">
        <v>1</v>
      </c>
      <c r="R174">
        <v>3</v>
      </c>
      <c r="S174">
        <v>37</v>
      </c>
      <c r="T174">
        <v>10</v>
      </c>
      <c r="U174">
        <v>10</v>
      </c>
      <c r="V174">
        <v>0</v>
      </c>
      <c r="W174">
        <v>30</v>
      </c>
      <c r="X174">
        <v>0</v>
      </c>
    </row>
    <row r="175" spans="1:24" x14ac:dyDescent="0.3">
      <c r="A175" t="s">
        <v>268</v>
      </c>
      <c r="B175" t="s">
        <v>306</v>
      </c>
      <c r="C175" t="s">
        <v>234</v>
      </c>
      <c r="D175">
        <v>240</v>
      </c>
      <c r="E175">
        <v>0</v>
      </c>
      <c r="F175">
        <v>0</v>
      </c>
      <c r="G175">
        <v>0</v>
      </c>
      <c r="H175">
        <v>0</v>
      </c>
      <c r="I175">
        <v>0</v>
      </c>
      <c r="J175">
        <v>0</v>
      </c>
      <c r="K175">
        <v>5</v>
      </c>
      <c r="L175">
        <v>2</v>
      </c>
      <c r="M175">
        <v>140</v>
      </c>
      <c r="N175">
        <v>6</v>
      </c>
      <c r="O175">
        <v>49</v>
      </c>
      <c r="P175">
        <v>16</v>
      </c>
      <c r="Q175">
        <v>1</v>
      </c>
      <c r="R175">
        <v>4</v>
      </c>
      <c r="S175">
        <v>46</v>
      </c>
      <c r="T175">
        <v>12</v>
      </c>
      <c r="U175">
        <v>15</v>
      </c>
      <c r="V175">
        <v>0</v>
      </c>
      <c r="W175">
        <v>40</v>
      </c>
      <c r="X175">
        <v>2</v>
      </c>
    </row>
    <row r="176" spans="1:24" x14ac:dyDescent="0.3">
      <c r="A176" t="s">
        <v>268</v>
      </c>
      <c r="B176" t="s">
        <v>307</v>
      </c>
      <c r="C176" t="s">
        <v>283</v>
      </c>
      <c r="D176">
        <v>300</v>
      </c>
      <c r="E176">
        <v>0</v>
      </c>
      <c r="F176">
        <v>0.5</v>
      </c>
      <c r="G176">
        <v>1</v>
      </c>
      <c r="H176">
        <v>0</v>
      </c>
      <c r="I176">
        <v>0</v>
      </c>
      <c r="J176">
        <v>0</v>
      </c>
      <c r="K176">
        <v>10</v>
      </c>
      <c r="L176">
        <v>3</v>
      </c>
      <c r="M176">
        <v>180</v>
      </c>
      <c r="N176">
        <v>8</v>
      </c>
      <c r="O176">
        <v>60</v>
      </c>
      <c r="P176">
        <v>20</v>
      </c>
      <c r="Q176">
        <v>1</v>
      </c>
      <c r="R176">
        <v>6</v>
      </c>
      <c r="S176">
        <v>56</v>
      </c>
      <c r="T176">
        <v>16</v>
      </c>
      <c r="U176">
        <v>15</v>
      </c>
      <c r="V176">
        <v>0</v>
      </c>
      <c r="W176">
        <v>50</v>
      </c>
      <c r="X176">
        <v>2</v>
      </c>
    </row>
    <row r="177" spans="1:24" x14ac:dyDescent="0.3">
      <c r="A177" t="s">
        <v>268</v>
      </c>
      <c r="B177" t="s">
        <v>308</v>
      </c>
      <c r="C177" t="s">
        <v>240</v>
      </c>
      <c r="D177">
        <v>140</v>
      </c>
      <c r="E177">
        <v>0</v>
      </c>
      <c r="F177">
        <v>0</v>
      </c>
      <c r="G177">
        <v>0</v>
      </c>
      <c r="H177">
        <v>0</v>
      </c>
      <c r="I177">
        <v>0</v>
      </c>
      <c r="J177">
        <v>0</v>
      </c>
      <c r="K177">
        <v>5</v>
      </c>
      <c r="L177">
        <v>2</v>
      </c>
      <c r="M177">
        <v>150</v>
      </c>
      <c r="N177">
        <v>6</v>
      </c>
      <c r="O177">
        <v>24</v>
      </c>
      <c r="P177">
        <v>8</v>
      </c>
      <c r="Q177">
        <v>1</v>
      </c>
      <c r="R177">
        <v>4</v>
      </c>
      <c r="S177">
        <v>13</v>
      </c>
      <c r="T177">
        <v>10</v>
      </c>
      <c r="U177">
        <v>10</v>
      </c>
      <c r="V177">
        <v>0</v>
      </c>
      <c r="W177">
        <v>30</v>
      </c>
      <c r="X177">
        <v>0</v>
      </c>
    </row>
    <row r="178" spans="1:24" x14ac:dyDescent="0.3">
      <c r="A178" t="s">
        <v>268</v>
      </c>
      <c r="B178" t="s">
        <v>309</v>
      </c>
      <c r="C178" t="s">
        <v>234</v>
      </c>
      <c r="D178">
        <v>170</v>
      </c>
      <c r="E178">
        <v>0</v>
      </c>
      <c r="F178">
        <v>0</v>
      </c>
      <c r="G178">
        <v>0</v>
      </c>
      <c r="H178">
        <v>0</v>
      </c>
      <c r="I178">
        <v>0</v>
      </c>
      <c r="J178">
        <v>0</v>
      </c>
      <c r="K178">
        <v>5</v>
      </c>
      <c r="L178">
        <v>2</v>
      </c>
      <c r="M178">
        <v>180</v>
      </c>
      <c r="N178">
        <v>8</v>
      </c>
      <c r="O178">
        <v>30</v>
      </c>
      <c r="P178">
        <v>10</v>
      </c>
      <c r="Q178">
        <v>1</v>
      </c>
      <c r="R178">
        <v>5</v>
      </c>
      <c r="S178">
        <v>16</v>
      </c>
      <c r="T178">
        <v>12</v>
      </c>
      <c r="U178">
        <v>15</v>
      </c>
      <c r="V178">
        <v>0</v>
      </c>
      <c r="W178">
        <v>40</v>
      </c>
      <c r="X178">
        <v>0</v>
      </c>
    </row>
    <row r="179" spans="1:24" x14ac:dyDescent="0.3">
      <c r="A179" t="s">
        <v>268</v>
      </c>
      <c r="B179" t="s">
        <v>310</v>
      </c>
      <c r="C179" t="s">
        <v>283</v>
      </c>
      <c r="D179">
        <v>220</v>
      </c>
      <c r="E179">
        <v>0</v>
      </c>
      <c r="F179">
        <v>0.5</v>
      </c>
      <c r="G179">
        <v>1</v>
      </c>
      <c r="H179">
        <v>0</v>
      </c>
      <c r="I179">
        <v>0</v>
      </c>
      <c r="J179">
        <v>0</v>
      </c>
      <c r="K179">
        <v>10</v>
      </c>
      <c r="L179">
        <v>3</v>
      </c>
      <c r="M179">
        <v>240</v>
      </c>
      <c r="N179">
        <v>10</v>
      </c>
      <c r="O179">
        <v>38</v>
      </c>
      <c r="P179">
        <v>13</v>
      </c>
      <c r="Q179">
        <v>2</v>
      </c>
      <c r="R179">
        <v>7</v>
      </c>
      <c r="S179">
        <v>21</v>
      </c>
      <c r="T179">
        <v>16</v>
      </c>
      <c r="U179">
        <v>15</v>
      </c>
      <c r="V179">
        <v>0</v>
      </c>
      <c r="W179">
        <v>50</v>
      </c>
      <c r="X179">
        <v>2</v>
      </c>
    </row>
    <row r="180" spans="1:24" x14ac:dyDescent="0.3">
      <c r="A180" t="s">
        <v>268</v>
      </c>
      <c r="B180" t="s">
        <v>311</v>
      </c>
      <c r="C180" t="s">
        <v>240</v>
      </c>
      <c r="D180">
        <v>340</v>
      </c>
      <c r="E180">
        <v>100</v>
      </c>
      <c r="F180">
        <v>11</v>
      </c>
      <c r="G180">
        <v>18</v>
      </c>
      <c r="H180">
        <v>7</v>
      </c>
      <c r="I180">
        <v>34</v>
      </c>
      <c r="J180">
        <v>0</v>
      </c>
      <c r="K180">
        <v>35</v>
      </c>
      <c r="L180">
        <v>12</v>
      </c>
      <c r="M180">
        <v>150</v>
      </c>
      <c r="N180">
        <v>6</v>
      </c>
      <c r="O180">
        <v>49</v>
      </c>
      <c r="P180">
        <v>16</v>
      </c>
      <c r="Q180">
        <v>2</v>
      </c>
      <c r="R180">
        <v>6</v>
      </c>
      <c r="S180">
        <v>42</v>
      </c>
      <c r="T180">
        <v>10</v>
      </c>
      <c r="U180">
        <v>10</v>
      </c>
      <c r="V180">
        <v>0</v>
      </c>
      <c r="W180">
        <v>30</v>
      </c>
      <c r="X180">
        <v>6</v>
      </c>
    </row>
    <row r="181" spans="1:24" x14ac:dyDescent="0.3">
      <c r="A181" t="s">
        <v>268</v>
      </c>
      <c r="B181" t="s">
        <v>312</v>
      </c>
      <c r="C181" t="s">
        <v>234</v>
      </c>
      <c r="D181">
        <v>410</v>
      </c>
      <c r="E181">
        <v>120</v>
      </c>
      <c r="F181">
        <v>14</v>
      </c>
      <c r="G181">
        <v>21</v>
      </c>
      <c r="H181">
        <v>8</v>
      </c>
      <c r="I181">
        <v>40</v>
      </c>
      <c r="J181">
        <v>0</v>
      </c>
      <c r="K181">
        <v>40</v>
      </c>
      <c r="L181">
        <v>14</v>
      </c>
      <c r="M181">
        <v>190</v>
      </c>
      <c r="N181">
        <v>8</v>
      </c>
      <c r="O181">
        <v>60</v>
      </c>
      <c r="P181">
        <v>20</v>
      </c>
      <c r="Q181">
        <v>2</v>
      </c>
      <c r="R181">
        <v>8</v>
      </c>
      <c r="S181">
        <v>53</v>
      </c>
      <c r="T181">
        <v>13</v>
      </c>
      <c r="U181">
        <v>10</v>
      </c>
      <c r="V181">
        <v>0</v>
      </c>
      <c r="W181">
        <v>40</v>
      </c>
      <c r="X181">
        <v>6</v>
      </c>
    </row>
    <row r="182" spans="1:24" x14ac:dyDescent="0.3">
      <c r="A182" t="s">
        <v>268</v>
      </c>
      <c r="B182" t="s">
        <v>313</v>
      </c>
      <c r="C182" t="s">
        <v>283</v>
      </c>
      <c r="D182">
        <v>500</v>
      </c>
      <c r="E182">
        <v>150</v>
      </c>
      <c r="F182">
        <v>17</v>
      </c>
      <c r="G182">
        <v>26</v>
      </c>
      <c r="H182">
        <v>10</v>
      </c>
      <c r="I182">
        <v>49</v>
      </c>
      <c r="J182">
        <v>0.5</v>
      </c>
      <c r="K182">
        <v>50</v>
      </c>
      <c r="L182">
        <v>17</v>
      </c>
      <c r="M182">
        <v>240</v>
      </c>
      <c r="N182">
        <v>10</v>
      </c>
      <c r="O182">
        <v>72</v>
      </c>
      <c r="P182">
        <v>24</v>
      </c>
      <c r="Q182">
        <v>2</v>
      </c>
      <c r="R182">
        <v>10</v>
      </c>
      <c r="S182">
        <v>63</v>
      </c>
      <c r="T182">
        <v>16</v>
      </c>
      <c r="U182">
        <v>15</v>
      </c>
      <c r="V182">
        <v>0</v>
      </c>
      <c r="W182">
        <v>50</v>
      </c>
      <c r="X182">
        <v>8</v>
      </c>
    </row>
    <row r="183" spans="1:24" x14ac:dyDescent="0.3">
      <c r="A183" t="s">
        <v>268</v>
      </c>
      <c r="B183" t="s">
        <v>314</v>
      </c>
      <c r="C183" t="s">
        <v>240</v>
      </c>
      <c r="D183">
        <v>270</v>
      </c>
      <c r="E183">
        <v>30</v>
      </c>
      <c r="F183">
        <v>3.5</v>
      </c>
      <c r="G183">
        <v>5</v>
      </c>
      <c r="H183">
        <v>2</v>
      </c>
      <c r="I183">
        <v>11</v>
      </c>
      <c r="J183">
        <v>0</v>
      </c>
      <c r="K183">
        <v>15</v>
      </c>
      <c r="L183">
        <v>5</v>
      </c>
      <c r="M183">
        <v>150</v>
      </c>
      <c r="N183">
        <v>6</v>
      </c>
      <c r="O183">
        <v>49</v>
      </c>
      <c r="P183">
        <v>16</v>
      </c>
      <c r="Q183">
        <v>2</v>
      </c>
      <c r="R183">
        <v>6</v>
      </c>
      <c r="S183">
        <v>43</v>
      </c>
      <c r="T183">
        <v>11</v>
      </c>
      <c r="U183">
        <v>10</v>
      </c>
      <c r="V183">
        <v>0</v>
      </c>
      <c r="W183">
        <v>35</v>
      </c>
      <c r="X183">
        <v>6</v>
      </c>
    </row>
    <row r="184" spans="1:24" x14ac:dyDescent="0.3">
      <c r="A184" t="s">
        <v>268</v>
      </c>
      <c r="B184" t="s">
        <v>315</v>
      </c>
      <c r="C184" t="s">
        <v>234</v>
      </c>
      <c r="D184">
        <v>330</v>
      </c>
      <c r="E184">
        <v>30</v>
      </c>
      <c r="F184">
        <v>3.5</v>
      </c>
      <c r="G184">
        <v>6</v>
      </c>
      <c r="H184">
        <v>2</v>
      </c>
      <c r="I184">
        <v>11</v>
      </c>
      <c r="J184">
        <v>0</v>
      </c>
      <c r="K184">
        <v>15</v>
      </c>
      <c r="L184">
        <v>5</v>
      </c>
      <c r="M184">
        <v>190</v>
      </c>
      <c r="N184">
        <v>8</v>
      </c>
      <c r="O184">
        <v>60</v>
      </c>
      <c r="P184">
        <v>20</v>
      </c>
      <c r="Q184">
        <v>2</v>
      </c>
      <c r="R184">
        <v>8</v>
      </c>
      <c r="S184">
        <v>53</v>
      </c>
      <c r="T184">
        <v>13</v>
      </c>
      <c r="U184">
        <v>15</v>
      </c>
      <c r="V184">
        <v>0</v>
      </c>
      <c r="W184">
        <v>40</v>
      </c>
      <c r="X184">
        <v>6</v>
      </c>
    </row>
    <row r="185" spans="1:24" x14ac:dyDescent="0.3">
      <c r="A185" t="s">
        <v>268</v>
      </c>
      <c r="B185" t="s">
        <v>316</v>
      </c>
      <c r="C185" t="s">
        <v>283</v>
      </c>
      <c r="D185">
        <v>390</v>
      </c>
      <c r="E185">
        <v>35</v>
      </c>
      <c r="F185">
        <v>4</v>
      </c>
      <c r="G185">
        <v>6</v>
      </c>
      <c r="H185">
        <v>2.5</v>
      </c>
      <c r="I185">
        <v>12</v>
      </c>
      <c r="J185">
        <v>0</v>
      </c>
      <c r="K185">
        <v>20</v>
      </c>
      <c r="L185">
        <v>6</v>
      </c>
      <c r="M185">
        <v>240</v>
      </c>
      <c r="N185">
        <v>10</v>
      </c>
      <c r="O185">
        <v>73</v>
      </c>
      <c r="P185">
        <v>24</v>
      </c>
      <c r="Q185">
        <v>2</v>
      </c>
      <c r="R185">
        <v>10</v>
      </c>
      <c r="S185">
        <v>64</v>
      </c>
      <c r="T185">
        <v>17</v>
      </c>
      <c r="U185">
        <v>20</v>
      </c>
      <c r="V185">
        <v>0</v>
      </c>
      <c r="W185">
        <v>50</v>
      </c>
      <c r="X185">
        <v>8</v>
      </c>
    </row>
    <row r="186" spans="1:24" x14ac:dyDescent="0.3">
      <c r="A186" t="s">
        <v>268</v>
      </c>
      <c r="B186" t="s">
        <v>317</v>
      </c>
      <c r="C186" t="s">
        <v>240</v>
      </c>
      <c r="D186">
        <v>320</v>
      </c>
      <c r="E186">
        <v>100</v>
      </c>
      <c r="F186">
        <v>11</v>
      </c>
      <c r="G186">
        <v>17</v>
      </c>
      <c r="H186">
        <v>7</v>
      </c>
      <c r="I186">
        <v>33</v>
      </c>
      <c r="J186">
        <v>0</v>
      </c>
      <c r="K186">
        <v>35</v>
      </c>
      <c r="L186">
        <v>12</v>
      </c>
      <c r="M186">
        <v>170</v>
      </c>
      <c r="N186">
        <v>7</v>
      </c>
      <c r="O186">
        <v>45</v>
      </c>
      <c r="P186">
        <v>15</v>
      </c>
      <c r="Q186">
        <v>1</v>
      </c>
      <c r="R186">
        <v>3</v>
      </c>
      <c r="S186">
        <v>40</v>
      </c>
      <c r="T186">
        <v>10</v>
      </c>
      <c r="U186">
        <v>10</v>
      </c>
      <c r="V186">
        <v>0</v>
      </c>
      <c r="W186">
        <v>30</v>
      </c>
      <c r="X186">
        <v>2</v>
      </c>
    </row>
    <row r="187" spans="1:24" x14ac:dyDescent="0.3">
      <c r="A187" t="s">
        <v>268</v>
      </c>
      <c r="B187" t="s">
        <v>318</v>
      </c>
      <c r="C187" t="s">
        <v>234</v>
      </c>
      <c r="D187">
        <v>390</v>
      </c>
      <c r="E187">
        <v>120</v>
      </c>
      <c r="F187">
        <v>14</v>
      </c>
      <c r="G187">
        <v>21</v>
      </c>
      <c r="H187">
        <v>8</v>
      </c>
      <c r="I187">
        <v>40</v>
      </c>
      <c r="J187">
        <v>0.5</v>
      </c>
      <c r="K187">
        <v>40</v>
      </c>
      <c r="L187">
        <v>14</v>
      </c>
      <c r="M187">
        <v>220</v>
      </c>
      <c r="N187">
        <v>9</v>
      </c>
      <c r="O187">
        <v>55</v>
      </c>
      <c r="P187">
        <v>18</v>
      </c>
      <c r="Q187">
        <v>1</v>
      </c>
      <c r="R187">
        <v>4</v>
      </c>
      <c r="S187">
        <v>50</v>
      </c>
      <c r="T187">
        <v>12</v>
      </c>
      <c r="U187">
        <v>15</v>
      </c>
      <c r="V187">
        <v>0</v>
      </c>
      <c r="W187">
        <v>40</v>
      </c>
      <c r="X187">
        <v>2</v>
      </c>
    </row>
    <row r="188" spans="1:24" x14ac:dyDescent="0.3">
      <c r="A188" t="s">
        <v>268</v>
      </c>
      <c r="B188" t="s">
        <v>319</v>
      </c>
      <c r="C188" t="s">
        <v>283</v>
      </c>
      <c r="D188">
        <v>480</v>
      </c>
      <c r="E188">
        <v>150</v>
      </c>
      <c r="F188">
        <v>17</v>
      </c>
      <c r="G188">
        <v>26</v>
      </c>
      <c r="H188">
        <v>10</v>
      </c>
      <c r="I188">
        <v>49</v>
      </c>
      <c r="J188">
        <v>0.5</v>
      </c>
      <c r="K188">
        <v>50</v>
      </c>
      <c r="L188">
        <v>17</v>
      </c>
      <c r="M188">
        <v>270</v>
      </c>
      <c r="N188">
        <v>11</v>
      </c>
      <c r="O188">
        <v>66</v>
      </c>
      <c r="P188">
        <v>22</v>
      </c>
      <c r="Q188">
        <v>1</v>
      </c>
      <c r="R188">
        <v>5</v>
      </c>
      <c r="S188">
        <v>60</v>
      </c>
      <c r="T188">
        <v>16</v>
      </c>
      <c r="U188">
        <v>15</v>
      </c>
      <c r="V188">
        <v>0</v>
      </c>
      <c r="W188">
        <v>50</v>
      </c>
      <c r="X188">
        <v>4</v>
      </c>
    </row>
    <row r="189" spans="1:24" x14ac:dyDescent="0.3">
      <c r="A189" t="s">
        <v>268</v>
      </c>
      <c r="B189" t="s">
        <v>320</v>
      </c>
      <c r="C189" t="s">
        <v>240</v>
      </c>
      <c r="D189">
        <v>250</v>
      </c>
      <c r="E189">
        <v>30</v>
      </c>
      <c r="F189">
        <v>3.5</v>
      </c>
      <c r="G189">
        <v>5</v>
      </c>
      <c r="H189">
        <v>2</v>
      </c>
      <c r="I189">
        <v>10</v>
      </c>
      <c r="J189">
        <v>0</v>
      </c>
      <c r="K189">
        <v>15</v>
      </c>
      <c r="L189">
        <v>5</v>
      </c>
      <c r="M189">
        <v>170</v>
      </c>
      <c r="N189">
        <v>7</v>
      </c>
      <c r="O189">
        <v>45</v>
      </c>
      <c r="P189">
        <v>15</v>
      </c>
      <c r="Q189">
        <v>1</v>
      </c>
      <c r="R189">
        <v>3</v>
      </c>
      <c r="S189">
        <v>41</v>
      </c>
      <c r="T189">
        <v>10</v>
      </c>
      <c r="U189">
        <v>10</v>
      </c>
      <c r="V189">
        <v>0</v>
      </c>
      <c r="W189">
        <v>35</v>
      </c>
      <c r="X189">
        <v>2</v>
      </c>
    </row>
    <row r="190" spans="1:24" x14ac:dyDescent="0.3">
      <c r="A190" t="s">
        <v>268</v>
      </c>
      <c r="B190" t="s">
        <v>321</v>
      </c>
      <c r="C190" t="s">
        <v>234</v>
      </c>
      <c r="D190">
        <v>310</v>
      </c>
      <c r="E190">
        <v>30</v>
      </c>
      <c r="F190">
        <v>3.5</v>
      </c>
      <c r="G190">
        <v>5</v>
      </c>
      <c r="H190">
        <v>2</v>
      </c>
      <c r="I190">
        <v>11</v>
      </c>
      <c r="J190">
        <v>0</v>
      </c>
      <c r="K190">
        <v>15</v>
      </c>
      <c r="L190">
        <v>5</v>
      </c>
      <c r="M190">
        <v>210</v>
      </c>
      <c r="N190">
        <v>9</v>
      </c>
      <c r="O190">
        <v>56</v>
      </c>
      <c r="P190">
        <v>19</v>
      </c>
      <c r="Q190">
        <v>1</v>
      </c>
      <c r="R190">
        <v>4</v>
      </c>
      <c r="S190">
        <v>51</v>
      </c>
      <c r="T190">
        <v>13</v>
      </c>
      <c r="U190">
        <v>15</v>
      </c>
      <c r="V190">
        <v>0</v>
      </c>
      <c r="W190">
        <v>40</v>
      </c>
      <c r="X190">
        <v>2</v>
      </c>
    </row>
    <row r="191" spans="1:24" x14ac:dyDescent="0.3">
      <c r="A191" t="s">
        <v>268</v>
      </c>
      <c r="B191" t="s">
        <v>322</v>
      </c>
      <c r="C191" t="s">
        <v>283</v>
      </c>
      <c r="D191">
        <v>370</v>
      </c>
      <c r="E191">
        <v>35</v>
      </c>
      <c r="F191">
        <v>3.5</v>
      </c>
      <c r="G191">
        <v>6</v>
      </c>
      <c r="H191">
        <v>2.5</v>
      </c>
      <c r="I191">
        <v>11</v>
      </c>
      <c r="J191">
        <v>0</v>
      </c>
      <c r="K191">
        <v>20</v>
      </c>
      <c r="L191">
        <v>6</v>
      </c>
      <c r="M191">
        <v>270</v>
      </c>
      <c r="N191">
        <v>11</v>
      </c>
      <c r="O191">
        <v>67</v>
      </c>
      <c r="P191">
        <v>22</v>
      </c>
      <c r="Q191">
        <v>1</v>
      </c>
      <c r="R191">
        <v>5</v>
      </c>
      <c r="S191">
        <v>61</v>
      </c>
      <c r="T191">
        <v>17</v>
      </c>
      <c r="U191">
        <v>20</v>
      </c>
      <c r="V191">
        <v>0</v>
      </c>
      <c r="W191">
        <v>50</v>
      </c>
      <c r="X191">
        <v>4</v>
      </c>
    </row>
    <row r="192" spans="1:24" x14ac:dyDescent="0.3">
      <c r="A192" t="s">
        <v>268</v>
      </c>
      <c r="B192" t="s">
        <v>323</v>
      </c>
      <c r="C192" t="s">
        <v>240</v>
      </c>
      <c r="D192">
        <v>360</v>
      </c>
      <c r="E192">
        <v>120</v>
      </c>
      <c r="F192">
        <v>13</v>
      </c>
      <c r="G192">
        <v>21</v>
      </c>
      <c r="H192">
        <v>8</v>
      </c>
      <c r="I192">
        <v>39</v>
      </c>
      <c r="J192">
        <v>0</v>
      </c>
      <c r="K192">
        <v>40</v>
      </c>
      <c r="L192">
        <v>14</v>
      </c>
      <c r="M192">
        <v>180</v>
      </c>
      <c r="N192">
        <v>8</v>
      </c>
      <c r="O192">
        <v>50</v>
      </c>
      <c r="P192">
        <v>17</v>
      </c>
      <c r="Q192">
        <v>1</v>
      </c>
      <c r="R192">
        <v>3</v>
      </c>
      <c r="S192">
        <v>45</v>
      </c>
      <c r="T192">
        <v>11</v>
      </c>
      <c r="U192">
        <v>10</v>
      </c>
      <c r="V192">
        <v>0</v>
      </c>
      <c r="W192">
        <v>40</v>
      </c>
      <c r="X192">
        <v>6</v>
      </c>
    </row>
    <row r="193" spans="1:24" x14ac:dyDescent="0.3">
      <c r="A193" t="s">
        <v>268</v>
      </c>
      <c r="B193" t="s">
        <v>324</v>
      </c>
      <c r="C193" t="s">
        <v>234</v>
      </c>
      <c r="D193">
        <v>440</v>
      </c>
      <c r="E193">
        <v>140</v>
      </c>
      <c r="F193">
        <v>16</v>
      </c>
      <c r="G193">
        <v>25</v>
      </c>
      <c r="H193">
        <v>9</v>
      </c>
      <c r="I193">
        <v>47</v>
      </c>
      <c r="J193">
        <v>0.5</v>
      </c>
      <c r="K193">
        <v>50</v>
      </c>
      <c r="L193">
        <v>16</v>
      </c>
      <c r="M193">
        <v>220</v>
      </c>
      <c r="N193">
        <v>9</v>
      </c>
      <c r="O193">
        <v>61</v>
      </c>
      <c r="P193">
        <v>20</v>
      </c>
      <c r="Q193">
        <v>1</v>
      </c>
      <c r="R193">
        <v>4</v>
      </c>
      <c r="S193">
        <v>56</v>
      </c>
      <c r="T193">
        <v>14</v>
      </c>
      <c r="U193">
        <v>15</v>
      </c>
      <c r="V193">
        <v>0</v>
      </c>
      <c r="W193">
        <v>45</v>
      </c>
      <c r="X193">
        <v>6</v>
      </c>
    </row>
    <row r="194" spans="1:24" x14ac:dyDescent="0.3">
      <c r="A194" t="s">
        <v>268</v>
      </c>
      <c r="B194" t="s">
        <v>325</v>
      </c>
      <c r="C194" t="s">
        <v>283</v>
      </c>
      <c r="D194">
        <v>540</v>
      </c>
      <c r="E194">
        <v>180</v>
      </c>
      <c r="F194">
        <v>20</v>
      </c>
      <c r="G194">
        <v>31</v>
      </c>
      <c r="H194">
        <v>12</v>
      </c>
      <c r="I194">
        <v>58</v>
      </c>
      <c r="J194">
        <v>0.5</v>
      </c>
      <c r="K194">
        <v>60</v>
      </c>
      <c r="L194">
        <v>20</v>
      </c>
      <c r="M194">
        <v>280</v>
      </c>
      <c r="N194">
        <v>12</v>
      </c>
      <c r="O194">
        <v>73</v>
      </c>
      <c r="P194">
        <v>24</v>
      </c>
      <c r="Q194">
        <v>1</v>
      </c>
      <c r="R194">
        <v>5</v>
      </c>
      <c r="S194">
        <v>68</v>
      </c>
      <c r="T194">
        <v>17</v>
      </c>
      <c r="U194">
        <v>20</v>
      </c>
      <c r="V194">
        <v>0</v>
      </c>
      <c r="W194">
        <v>60</v>
      </c>
      <c r="X194">
        <v>8</v>
      </c>
    </row>
    <row r="195" spans="1:24" x14ac:dyDescent="0.3">
      <c r="A195" t="s">
        <v>268</v>
      </c>
      <c r="B195" t="s">
        <v>326</v>
      </c>
      <c r="C195" t="s">
        <v>240</v>
      </c>
      <c r="D195">
        <v>280</v>
      </c>
      <c r="E195">
        <v>30</v>
      </c>
      <c r="F195">
        <v>3.5</v>
      </c>
      <c r="G195">
        <v>5</v>
      </c>
      <c r="H195">
        <v>2</v>
      </c>
      <c r="I195">
        <v>11</v>
      </c>
      <c r="J195">
        <v>0</v>
      </c>
      <c r="K195">
        <v>15</v>
      </c>
      <c r="L195">
        <v>5</v>
      </c>
      <c r="M195">
        <v>180</v>
      </c>
      <c r="N195">
        <v>7</v>
      </c>
      <c r="O195">
        <v>50</v>
      </c>
      <c r="P195">
        <v>17</v>
      </c>
      <c r="Q195">
        <v>1</v>
      </c>
      <c r="R195">
        <v>3</v>
      </c>
      <c r="S195">
        <v>46</v>
      </c>
      <c r="T195">
        <v>12</v>
      </c>
      <c r="U195">
        <v>15</v>
      </c>
      <c r="V195">
        <v>0</v>
      </c>
      <c r="W195">
        <v>40</v>
      </c>
      <c r="X195">
        <v>6</v>
      </c>
    </row>
    <row r="196" spans="1:24" x14ac:dyDescent="0.3">
      <c r="A196" t="s">
        <v>268</v>
      </c>
      <c r="B196" t="s">
        <v>327</v>
      </c>
      <c r="C196" t="s">
        <v>234</v>
      </c>
      <c r="D196">
        <v>340</v>
      </c>
      <c r="E196">
        <v>30</v>
      </c>
      <c r="F196">
        <v>3.5</v>
      </c>
      <c r="G196">
        <v>5</v>
      </c>
      <c r="H196">
        <v>2</v>
      </c>
      <c r="I196">
        <v>11</v>
      </c>
      <c r="J196">
        <v>0</v>
      </c>
      <c r="K196">
        <v>15</v>
      </c>
      <c r="L196">
        <v>6</v>
      </c>
      <c r="M196">
        <v>220</v>
      </c>
      <c r="N196">
        <v>9</v>
      </c>
      <c r="O196">
        <v>61</v>
      </c>
      <c r="P196">
        <v>20</v>
      </c>
      <c r="Q196">
        <v>1</v>
      </c>
      <c r="R196">
        <v>4</v>
      </c>
      <c r="S196">
        <v>57</v>
      </c>
      <c r="T196">
        <v>14</v>
      </c>
      <c r="U196">
        <v>20</v>
      </c>
      <c r="V196">
        <v>0</v>
      </c>
      <c r="W196">
        <v>50</v>
      </c>
      <c r="X196">
        <v>6</v>
      </c>
    </row>
    <row r="197" spans="1:24" x14ac:dyDescent="0.3">
      <c r="A197" t="s">
        <v>268</v>
      </c>
      <c r="B197" t="s">
        <v>328</v>
      </c>
      <c r="C197" t="s">
        <v>283</v>
      </c>
      <c r="D197">
        <v>400</v>
      </c>
      <c r="E197">
        <v>35</v>
      </c>
      <c r="F197">
        <v>3.5</v>
      </c>
      <c r="G197">
        <v>6</v>
      </c>
      <c r="H197">
        <v>2.5</v>
      </c>
      <c r="I197">
        <v>12</v>
      </c>
      <c r="J197">
        <v>0</v>
      </c>
      <c r="K197">
        <v>20</v>
      </c>
      <c r="L197">
        <v>7</v>
      </c>
      <c r="M197">
        <v>280</v>
      </c>
      <c r="N197">
        <v>12</v>
      </c>
      <c r="O197">
        <v>74</v>
      </c>
      <c r="P197">
        <v>25</v>
      </c>
      <c r="Q197">
        <v>1</v>
      </c>
      <c r="R197">
        <v>5</v>
      </c>
      <c r="S197">
        <v>69</v>
      </c>
      <c r="T197">
        <v>19</v>
      </c>
      <c r="U197">
        <v>25</v>
      </c>
      <c r="V197">
        <v>0</v>
      </c>
      <c r="W197">
        <v>60</v>
      </c>
      <c r="X197">
        <v>8</v>
      </c>
    </row>
    <row r="198" spans="1:24" x14ac:dyDescent="0.3">
      <c r="A198" t="s">
        <v>268</v>
      </c>
      <c r="B198" t="s">
        <v>329</v>
      </c>
      <c r="C198" t="s">
        <v>234</v>
      </c>
      <c r="D198">
        <v>140</v>
      </c>
      <c r="E198">
        <v>40</v>
      </c>
      <c r="F198">
        <v>4.5</v>
      </c>
      <c r="G198">
        <v>7</v>
      </c>
      <c r="H198">
        <v>3</v>
      </c>
      <c r="I198">
        <v>15</v>
      </c>
      <c r="J198">
        <v>0</v>
      </c>
      <c r="K198">
        <v>15</v>
      </c>
      <c r="L198">
        <v>6</v>
      </c>
      <c r="M198">
        <v>35</v>
      </c>
      <c r="N198">
        <v>1</v>
      </c>
      <c r="O198">
        <v>23</v>
      </c>
      <c r="P198">
        <v>8</v>
      </c>
      <c r="Q198">
        <v>0</v>
      </c>
      <c r="R198">
        <v>0</v>
      </c>
      <c r="S198">
        <v>22</v>
      </c>
      <c r="T198">
        <v>1</v>
      </c>
      <c r="U198">
        <v>4</v>
      </c>
      <c r="V198">
        <v>0</v>
      </c>
      <c r="W198">
        <v>4</v>
      </c>
      <c r="X198">
        <v>0</v>
      </c>
    </row>
    <row r="199" spans="1:24" x14ac:dyDescent="0.3">
      <c r="A199" t="s">
        <v>268</v>
      </c>
      <c r="B199" t="s">
        <v>330</v>
      </c>
      <c r="C199" t="s">
        <v>265</v>
      </c>
      <c r="D199">
        <v>190</v>
      </c>
      <c r="E199">
        <v>60</v>
      </c>
      <c r="F199">
        <v>7</v>
      </c>
      <c r="G199">
        <v>11</v>
      </c>
      <c r="H199">
        <v>4.5</v>
      </c>
      <c r="I199">
        <v>22</v>
      </c>
      <c r="J199">
        <v>0</v>
      </c>
      <c r="K199">
        <v>25</v>
      </c>
      <c r="L199">
        <v>9</v>
      </c>
      <c r="M199">
        <v>50</v>
      </c>
      <c r="N199">
        <v>2</v>
      </c>
      <c r="O199">
        <v>31</v>
      </c>
      <c r="P199">
        <v>10</v>
      </c>
      <c r="Q199">
        <v>0</v>
      </c>
      <c r="R199">
        <v>0</v>
      </c>
      <c r="S199">
        <v>30</v>
      </c>
      <c r="T199">
        <v>1</v>
      </c>
      <c r="U199">
        <v>4</v>
      </c>
      <c r="V199">
        <v>0</v>
      </c>
      <c r="W199">
        <v>4</v>
      </c>
      <c r="X199">
        <v>0</v>
      </c>
    </row>
    <row r="200" spans="1:24" x14ac:dyDescent="0.3">
      <c r="A200" t="s">
        <v>268</v>
      </c>
      <c r="B200" t="s">
        <v>331</v>
      </c>
      <c r="C200" t="s">
        <v>332</v>
      </c>
      <c r="D200">
        <v>270</v>
      </c>
      <c r="E200">
        <v>80</v>
      </c>
      <c r="F200">
        <v>9</v>
      </c>
      <c r="G200">
        <v>14</v>
      </c>
      <c r="H200">
        <v>6</v>
      </c>
      <c r="I200">
        <v>29</v>
      </c>
      <c r="J200">
        <v>0</v>
      </c>
      <c r="K200">
        <v>35</v>
      </c>
      <c r="L200">
        <v>12</v>
      </c>
      <c r="M200">
        <v>75</v>
      </c>
      <c r="N200">
        <v>3</v>
      </c>
      <c r="O200">
        <v>47</v>
      </c>
      <c r="P200">
        <v>16</v>
      </c>
      <c r="Q200">
        <v>0</v>
      </c>
      <c r="R200">
        <v>0</v>
      </c>
      <c r="S200">
        <v>45</v>
      </c>
      <c r="T200">
        <v>2</v>
      </c>
      <c r="U200">
        <v>6</v>
      </c>
      <c r="V200">
        <v>0</v>
      </c>
      <c r="W200">
        <v>8</v>
      </c>
      <c r="X200">
        <v>0</v>
      </c>
    </row>
    <row r="201" spans="1:24" x14ac:dyDescent="0.3">
      <c r="A201" t="s">
        <v>268</v>
      </c>
      <c r="B201" t="s">
        <v>333</v>
      </c>
      <c r="C201" t="s">
        <v>234</v>
      </c>
      <c r="D201">
        <v>130</v>
      </c>
      <c r="E201">
        <v>40</v>
      </c>
      <c r="F201">
        <v>4.5</v>
      </c>
      <c r="G201">
        <v>7</v>
      </c>
      <c r="H201">
        <v>3</v>
      </c>
      <c r="I201">
        <v>15</v>
      </c>
      <c r="J201">
        <v>0</v>
      </c>
      <c r="K201">
        <v>15</v>
      </c>
      <c r="L201">
        <v>6</v>
      </c>
      <c r="M201">
        <v>35</v>
      </c>
      <c r="N201">
        <v>2</v>
      </c>
      <c r="O201">
        <v>22</v>
      </c>
      <c r="P201">
        <v>7</v>
      </c>
      <c r="Q201">
        <v>0</v>
      </c>
      <c r="R201">
        <v>0</v>
      </c>
      <c r="S201">
        <v>21</v>
      </c>
      <c r="T201">
        <v>1</v>
      </c>
      <c r="U201">
        <v>4</v>
      </c>
      <c r="V201">
        <v>0</v>
      </c>
      <c r="W201">
        <v>4</v>
      </c>
      <c r="X201">
        <v>0</v>
      </c>
    </row>
    <row r="202" spans="1:24" x14ac:dyDescent="0.3">
      <c r="A202" t="s">
        <v>268</v>
      </c>
      <c r="B202" t="s">
        <v>334</v>
      </c>
      <c r="C202" t="s">
        <v>265</v>
      </c>
      <c r="D202">
        <v>180</v>
      </c>
      <c r="E202">
        <v>60</v>
      </c>
      <c r="F202">
        <v>7</v>
      </c>
      <c r="G202">
        <v>11</v>
      </c>
      <c r="H202">
        <v>4.5</v>
      </c>
      <c r="I202">
        <v>22</v>
      </c>
      <c r="J202">
        <v>0</v>
      </c>
      <c r="K202">
        <v>25</v>
      </c>
      <c r="L202">
        <v>9</v>
      </c>
      <c r="M202">
        <v>50</v>
      </c>
      <c r="N202">
        <v>2</v>
      </c>
      <c r="O202">
        <v>29</v>
      </c>
      <c r="P202">
        <v>10</v>
      </c>
      <c r="Q202">
        <v>0</v>
      </c>
      <c r="R202">
        <v>0</v>
      </c>
      <c r="S202">
        <v>28</v>
      </c>
      <c r="T202">
        <v>1</v>
      </c>
      <c r="U202">
        <v>4</v>
      </c>
      <c r="V202">
        <v>0</v>
      </c>
      <c r="W202">
        <v>4</v>
      </c>
      <c r="X202">
        <v>0</v>
      </c>
    </row>
    <row r="203" spans="1:24" x14ac:dyDescent="0.3">
      <c r="A203" t="s">
        <v>268</v>
      </c>
      <c r="B203" t="s">
        <v>335</v>
      </c>
      <c r="C203" t="s">
        <v>332</v>
      </c>
      <c r="D203">
        <v>260</v>
      </c>
      <c r="E203">
        <v>80</v>
      </c>
      <c r="F203">
        <v>9</v>
      </c>
      <c r="G203">
        <v>14</v>
      </c>
      <c r="H203">
        <v>6</v>
      </c>
      <c r="I203">
        <v>29</v>
      </c>
      <c r="J203">
        <v>0</v>
      </c>
      <c r="K203">
        <v>35</v>
      </c>
      <c r="L203">
        <v>12</v>
      </c>
      <c r="M203">
        <v>65</v>
      </c>
      <c r="N203">
        <v>3</v>
      </c>
      <c r="O203">
        <v>43</v>
      </c>
      <c r="P203">
        <v>14</v>
      </c>
      <c r="Q203">
        <v>0</v>
      </c>
      <c r="R203">
        <v>0</v>
      </c>
      <c r="S203">
        <v>42</v>
      </c>
      <c r="T203">
        <v>2</v>
      </c>
      <c r="U203">
        <v>6</v>
      </c>
      <c r="V203">
        <v>0</v>
      </c>
      <c r="W203">
        <v>6</v>
      </c>
      <c r="X203">
        <v>0</v>
      </c>
    </row>
    <row r="204" spans="1:24" x14ac:dyDescent="0.3">
      <c r="A204" t="s">
        <v>268</v>
      </c>
      <c r="B204" t="s">
        <v>336</v>
      </c>
      <c r="C204" t="s">
        <v>234</v>
      </c>
      <c r="D204">
        <v>130</v>
      </c>
      <c r="E204">
        <v>40</v>
      </c>
      <c r="F204">
        <v>4.5</v>
      </c>
      <c r="G204">
        <v>7</v>
      </c>
      <c r="H204">
        <v>3</v>
      </c>
      <c r="I204">
        <v>15</v>
      </c>
      <c r="J204">
        <v>0</v>
      </c>
      <c r="K204">
        <v>15</v>
      </c>
      <c r="L204">
        <v>6</v>
      </c>
      <c r="M204">
        <v>35</v>
      </c>
      <c r="N204">
        <v>1</v>
      </c>
      <c r="O204">
        <v>21</v>
      </c>
      <c r="P204">
        <v>7</v>
      </c>
      <c r="Q204">
        <v>0</v>
      </c>
      <c r="R204">
        <v>0</v>
      </c>
      <c r="S204">
        <v>20</v>
      </c>
      <c r="T204">
        <v>1</v>
      </c>
      <c r="U204">
        <v>4</v>
      </c>
      <c r="V204">
        <v>0</v>
      </c>
      <c r="W204">
        <v>4</v>
      </c>
      <c r="X204">
        <v>0</v>
      </c>
    </row>
    <row r="205" spans="1:24" x14ac:dyDescent="0.3">
      <c r="A205" t="s">
        <v>268</v>
      </c>
      <c r="B205" t="s">
        <v>337</v>
      </c>
      <c r="C205" t="s">
        <v>265</v>
      </c>
      <c r="D205">
        <v>180</v>
      </c>
      <c r="E205">
        <v>60</v>
      </c>
      <c r="F205">
        <v>7</v>
      </c>
      <c r="G205">
        <v>11</v>
      </c>
      <c r="H205">
        <v>4.5</v>
      </c>
      <c r="I205">
        <v>22</v>
      </c>
      <c r="J205">
        <v>0</v>
      </c>
      <c r="K205">
        <v>25</v>
      </c>
      <c r="L205">
        <v>9</v>
      </c>
      <c r="M205">
        <v>50</v>
      </c>
      <c r="N205">
        <v>2</v>
      </c>
      <c r="O205">
        <v>29</v>
      </c>
      <c r="P205">
        <v>10</v>
      </c>
      <c r="Q205">
        <v>0</v>
      </c>
      <c r="R205">
        <v>0</v>
      </c>
      <c r="S205">
        <v>28</v>
      </c>
      <c r="T205">
        <v>1</v>
      </c>
      <c r="U205">
        <v>4</v>
      </c>
      <c r="V205">
        <v>0</v>
      </c>
      <c r="W205">
        <v>4</v>
      </c>
      <c r="X205">
        <v>0</v>
      </c>
    </row>
    <row r="206" spans="1:24" x14ac:dyDescent="0.3">
      <c r="A206" t="s">
        <v>268</v>
      </c>
      <c r="B206" t="s">
        <v>338</v>
      </c>
      <c r="C206" t="s">
        <v>332</v>
      </c>
      <c r="D206">
        <v>250</v>
      </c>
      <c r="E206">
        <v>80</v>
      </c>
      <c r="F206">
        <v>9</v>
      </c>
      <c r="G206">
        <v>14</v>
      </c>
      <c r="H206">
        <v>6</v>
      </c>
      <c r="I206">
        <v>29</v>
      </c>
      <c r="J206">
        <v>0</v>
      </c>
      <c r="K206">
        <v>35</v>
      </c>
      <c r="L206">
        <v>12</v>
      </c>
      <c r="M206">
        <v>75</v>
      </c>
      <c r="N206">
        <v>3</v>
      </c>
      <c r="O206">
        <v>43</v>
      </c>
      <c r="P206">
        <v>14</v>
      </c>
      <c r="Q206">
        <v>0</v>
      </c>
      <c r="R206">
        <v>0</v>
      </c>
      <c r="S206">
        <v>41</v>
      </c>
      <c r="T206">
        <v>2</v>
      </c>
      <c r="U206">
        <v>6</v>
      </c>
      <c r="V206">
        <v>0</v>
      </c>
      <c r="W206">
        <v>8</v>
      </c>
      <c r="X206">
        <v>0</v>
      </c>
    </row>
    <row r="207" spans="1:24" x14ac:dyDescent="0.3">
      <c r="A207" t="s">
        <v>268</v>
      </c>
      <c r="B207" t="s">
        <v>339</v>
      </c>
      <c r="C207" t="s">
        <v>234</v>
      </c>
      <c r="D207">
        <v>120</v>
      </c>
      <c r="E207">
        <v>40</v>
      </c>
      <c r="F207">
        <v>4.5</v>
      </c>
      <c r="G207">
        <v>7</v>
      </c>
      <c r="H207">
        <v>3</v>
      </c>
      <c r="I207">
        <v>15</v>
      </c>
      <c r="J207">
        <v>0</v>
      </c>
      <c r="K207">
        <v>15</v>
      </c>
      <c r="L207">
        <v>6</v>
      </c>
      <c r="M207">
        <v>40</v>
      </c>
      <c r="N207">
        <v>2</v>
      </c>
      <c r="O207">
        <v>20</v>
      </c>
      <c r="P207">
        <v>7</v>
      </c>
      <c r="Q207">
        <v>0</v>
      </c>
      <c r="R207">
        <v>0</v>
      </c>
      <c r="S207">
        <v>19</v>
      </c>
      <c r="T207">
        <v>1</v>
      </c>
      <c r="U207">
        <v>4</v>
      </c>
      <c r="V207">
        <v>0</v>
      </c>
      <c r="W207">
        <v>4</v>
      </c>
      <c r="X207">
        <v>0</v>
      </c>
    </row>
    <row r="208" spans="1:24" x14ac:dyDescent="0.3">
      <c r="A208" t="s">
        <v>268</v>
      </c>
      <c r="B208" t="s">
        <v>340</v>
      </c>
      <c r="C208" t="s">
        <v>265</v>
      </c>
      <c r="D208">
        <v>170</v>
      </c>
      <c r="E208">
        <v>60</v>
      </c>
      <c r="F208">
        <v>7</v>
      </c>
      <c r="G208">
        <v>11</v>
      </c>
      <c r="H208">
        <v>4.5</v>
      </c>
      <c r="I208">
        <v>22</v>
      </c>
      <c r="J208">
        <v>0</v>
      </c>
      <c r="K208">
        <v>25</v>
      </c>
      <c r="L208">
        <v>9</v>
      </c>
      <c r="M208">
        <v>55</v>
      </c>
      <c r="N208">
        <v>2</v>
      </c>
      <c r="O208">
        <v>27</v>
      </c>
      <c r="P208">
        <v>9</v>
      </c>
      <c r="Q208">
        <v>0</v>
      </c>
      <c r="R208">
        <v>0</v>
      </c>
      <c r="S208">
        <v>26</v>
      </c>
      <c r="T208">
        <v>1</v>
      </c>
      <c r="U208">
        <v>4</v>
      </c>
      <c r="V208">
        <v>0</v>
      </c>
      <c r="W208">
        <v>4</v>
      </c>
      <c r="X208">
        <v>0</v>
      </c>
    </row>
    <row r="209" spans="1:24" x14ac:dyDescent="0.3">
      <c r="A209" t="s">
        <v>268</v>
      </c>
      <c r="B209" t="s">
        <v>341</v>
      </c>
      <c r="C209" t="s">
        <v>332</v>
      </c>
      <c r="D209">
        <v>240</v>
      </c>
      <c r="E209">
        <v>80</v>
      </c>
      <c r="F209">
        <v>9</v>
      </c>
      <c r="G209">
        <v>14</v>
      </c>
      <c r="H209">
        <v>6</v>
      </c>
      <c r="I209">
        <v>29</v>
      </c>
      <c r="J209">
        <v>0</v>
      </c>
      <c r="K209">
        <v>35</v>
      </c>
      <c r="L209">
        <v>12</v>
      </c>
      <c r="M209">
        <v>80</v>
      </c>
      <c r="N209">
        <v>3</v>
      </c>
      <c r="O209">
        <v>41</v>
      </c>
      <c r="P209">
        <v>14</v>
      </c>
      <c r="Q209">
        <v>0</v>
      </c>
      <c r="R209">
        <v>0</v>
      </c>
      <c r="S209">
        <v>39</v>
      </c>
      <c r="T209">
        <v>2</v>
      </c>
      <c r="U209">
        <v>6</v>
      </c>
      <c r="V209">
        <v>0</v>
      </c>
      <c r="W209">
        <v>8</v>
      </c>
      <c r="X209">
        <v>0</v>
      </c>
    </row>
    <row r="210" spans="1:24" x14ac:dyDescent="0.3">
      <c r="A210" t="s">
        <v>268</v>
      </c>
      <c r="B210" t="s">
        <v>342</v>
      </c>
      <c r="C210" t="s">
        <v>234</v>
      </c>
      <c r="D210">
        <v>80</v>
      </c>
      <c r="E210">
        <v>40</v>
      </c>
      <c r="F210">
        <v>4.5</v>
      </c>
      <c r="G210">
        <v>7</v>
      </c>
      <c r="H210">
        <v>3</v>
      </c>
      <c r="I210">
        <v>15</v>
      </c>
      <c r="J210">
        <v>0</v>
      </c>
      <c r="K210">
        <v>15</v>
      </c>
      <c r="L210">
        <v>6</v>
      </c>
      <c r="M210">
        <v>65</v>
      </c>
      <c r="N210">
        <v>3</v>
      </c>
      <c r="O210">
        <v>9</v>
      </c>
      <c r="P210">
        <v>3</v>
      </c>
      <c r="Q210">
        <v>0</v>
      </c>
      <c r="R210">
        <v>0</v>
      </c>
      <c r="S210">
        <v>1</v>
      </c>
      <c r="T210">
        <v>1</v>
      </c>
      <c r="U210">
        <v>4</v>
      </c>
      <c r="V210">
        <v>0</v>
      </c>
      <c r="W210">
        <v>4</v>
      </c>
      <c r="X210">
        <v>0</v>
      </c>
    </row>
    <row r="211" spans="1:24" x14ac:dyDescent="0.3">
      <c r="A211" t="s">
        <v>268</v>
      </c>
      <c r="B211" t="s">
        <v>343</v>
      </c>
      <c r="C211" t="s">
        <v>265</v>
      </c>
      <c r="D211">
        <v>120</v>
      </c>
      <c r="E211">
        <v>60</v>
      </c>
      <c r="F211">
        <v>7</v>
      </c>
      <c r="G211">
        <v>11</v>
      </c>
      <c r="H211">
        <v>4.5</v>
      </c>
      <c r="I211">
        <v>22</v>
      </c>
      <c r="J211">
        <v>0</v>
      </c>
      <c r="K211">
        <v>25</v>
      </c>
      <c r="L211">
        <v>9</v>
      </c>
      <c r="M211">
        <v>90</v>
      </c>
      <c r="N211">
        <v>4</v>
      </c>
      <c r="O211">
        <v>12</v>
      </c>
      <c r="P211">
        <v>4</v>
      </c>
      <c r="Q211">
        <v>0</v>
      </c>
      <c r="R211">
        <v>0</v>
      </c>
      <c r="S211">
        <v>2</v>
      </c>
      <c r="T211">
        <v>1</v>
      </c>
      <c r="U211">
        <v>4</v>
      </c>
      <c r="V211">
        <v>0</v>
      </c>
      <c r="W211">
        <v>4</v>
      </c>
      <c r="X211">
        <v>0</v>
      </c>
    </row>
    <row r="212" spans="1:24" x14ac:dyDescent="0.3">
      <c r="A212" t="s">
        <v>268</v>
      </c>
      <c r="B212" t="s">
        <v>344</v>
      </c>
      <c r="C212" t="s">
        <v>332</v>
      </c>
      <c r="D212">
        <v>160</v>
      </c>
      <c r="E212">
        <v>80</v>
      </c>
      <c r="F212">
        <v>9</v>
      </c>
      <c r="G212">
        <v>14</v>
      </c>
      <c r="H212">
        <v>6</v>
      </c>
      <c r="I212">
        <v>29</v>
      </c>
      <c r="J212">
        <v>0</v>
      </c>
      <c r="K212">
        <v>35</v>
      </c>
      <c r="L212">
        <v>12</v>
      </c>
      <c r="M212">
        <v>135</v>
      </c>
      <c r="N212">
        <v>6</v>
      </c>
      <c r="O212">
        <v>18</v>
      </c>
      <c r="P212">
        <v>6</v>
      </c>
      <c r="Q212">
        <v>0</v>
      </c>
      <c r="R212">
        <v>0</v>
      </c>
      <c r="S212">
        <v>2</v>
      </c>
      <c r="T212">
        <v>2</v>
      </c>
      <c r="U212">
        <v>6</v>
      </c>
      <c r="V212">
        <v>0</v>
      </c>
      <c r="W212">
        <v>8</v>
      </c>
      <c r="X212">
        <v>0</v>
      </c>
    </row>
    <row r="213" spans="1:24" x14ac:dyDescent="0.3">
      <c r="A213" t="s">
        <v>268</v>
      </c>
      <c r="B213" t="s">
        <v>345</v>
      </c>
      <c r="C213" t="s">
        <v>240</v>
      </c>
      <c r="D213">
        <v>290</v>
      </c>
      <c r="E213">
        <v>100</v>
      </c>
      <c r="F213">
        <v>11</v>
      </c>
      <c r="G213">
        <v>17</v>
      </c>
      <c r="H213">
        <v>7</v>
      </c>
      <c r="I213">
        <v>33</v>
      </c>
      <c r="J213">
        <v>0</v>
      </c>
      <c r="K213">
        <v>35</v>
      </c>
      <c r="L213">
        <v>12</v>
      </c>
      <c r="M213">
        <v>125</v>
      </c>
      <c r="N213">
        <v>5</v>
      </c>
      <c r="O213">
        <v>41</v>
      </c>
      <c r="P213">
        <v>14</v>
      </c>
      <c r="Q213">
        <v>1</v>
      </c>
      <c r="R213">
        <v>4</v>
      </c>
      <c r="S213">
        <v>34</v>
      </c>
      <c r="T213">
        <v>8</v>
      </c>
      <c r="U213">
        <v>10</v>
      </c>
      <c r="V213">
        <v>0</v>
      </c>
      <c r="W213">
        <v>25</v>
      </c>
      <c r="X213">
        <v>4</v>
      </c>
    </row>
    <row r="214" spans="1:24" x14ac:dyDescent="0.3">
      <c r="A214" t="s">
        <v>268</v>
      </c>
      <c r="B214" t="s">
        <v>346</v>
      </c>
      <c r="C214" t="s">
        <v>234</v>
      </c>
      <c r="D214">
        <v>350</v>
      </c>
      <c r="E214">
        <v>110</v>
      </c>
      <c r="F214">
        <v>13</v>
      </c>
      <c r="G214">
        <v>19</v>
      </c>
      <c r="H214">
        <v>8</v>
      </c>
      <c r="I214">
        <v>38</v>
      </c>
      <c r="J214">
        <v>0</v>
      </c>
      <c r="K214">
        <v>40</v>
      </c>
      <c r="L214">
        <v>13</v>
      </c>
      <c r="M214">
        <v>150</v>
      </c>
      <c r="N214">
        <v>6</v>
      </c>
      <c r="O214">
        <v>50</v>
      </c>
      <c r="P214">
        <v>17</v>
      </c>
      <c r="Q214">
        <v>1</v>
      </c>
      <c r="R214">
        <v>5</v>
      </c>
      <c r="S214">
        <v>43</v>
      </c>
      <c r="T214">
        <v>9</v>
      </c>
      <c r="U214">
        <v>10</v>
      </c>
      <c r="V214">
        <v>0</v>
      </c>
      <c r="W214">
        <v>30</v>
      </c>
      <c r="X214">
        <v>6</v>
      </c>
    </row>
    <row r="215" spans="1:24" x14ac:dyDescent="0.3">
      <c r="A215" t="s">
        <v>268</v>
      </c>
      <c r="B215" t="s">
        <v>347</v>
      </c>
      <c r="C215" t="s">
        <v>265</v>
      </c>
      <c r="D215">
        <v>480</v>
      </c>
      <c r="E215">
        <v>150</v>
      </c>
      <c r="F215">
        <v>16</v>
      </c>
      <c r="G215">
        <v>25</v>
      </c>
      <c r="H215">
        <v>10</v>
      </c>
      <c r="I215">
        <v>49</v>
      </c>
      <c r="J215">
        <v>0.5</v>
      </c>
      <c r="K215">
        <v>50</v>
      </c>
      <c r="L215">
        <v>17</v>
      </c>
      <c r="M215">
        <v>220</v>
      </c>
      <c r="N215">
        <v>9</v>
      </c>
      <c r="O215">
        <v>70</v>
      </c>
      <c r="P215">
        <v>23</v>
      </c>
      <c r="Q215">
        <v>2</v>
      </c>
      <c r="R215">
        <v>8</v>
      </c>
      <c r="S215">
        <v>62</v>
      </c>
      <c r="T215">
        <v>14</v>
      </c>
      <c r="U215">
        <v>15</v>
      </c>
      <c r="V215">
        <v>0</v>
      </c>
      <c r="W215">
        <v>40</v>
      </c>
      <c r="X215">
        <v>8</v>
      </c>
    </row>
    <row r="216" spans="1:24" x14ac:dyDescent="0.3">
      <c r="A216" t="s">
        <v>268</v>
      </c>
      <c r="B216" t="s">
        <v>348</v>
      </c>
      <c r="C216" t="s">
        <v>240</v>
      </c>
      <c r="D216">
        <v>240</v>
      </c>
      <c r="E216">
        <v>45</v>
      </c>
      <c r="F216">
        <v>5</v>
      </c>
      <c r="G216">
        <v>8</v>
      </c>
      <c r="H216">
        <v>3</v>
      </c>
      <c r="I216">
        <v>16</v>
      </c>
      <c r="J216">
        <v>0</v>
      </c>
      <c r="K216">
        <v>20</v>
      </c>
      <c r="L216">
        <v>7</v>
      </c>
      <c r="M216">
        <v>125</v>
      </c>
      <c r="N216">
        <v>5</v>
      </c>
      <c r="O216">
        <v>41</v>
      </c>
      <c r="P216">
        <v>14</v>
      </c>
      <c r="Q216">
        <v>1</v>
      </c>
      <c r="R216">
        <v>4</v>
      </c>
      <c r="S216">
        <v>35</v>
      </c>
      <c r="T216">
        <v>8</v>
      </c>
      <c r="U216">
        <v>10</v>
      </c>
      <c r="V216">
        <v>0</v>
      </c>
      <c r="W216">
        <v>25</v>
      </c>
      <c r="X216">
        <v>4</v>
      </c>
    </row>
    <row r="217" spans="1:24" x14ac:dyDescent="0.3">
      <c r="A217" t="s">
        <v>268</v>
      </c>
      <c r="B217" t="s">
        <v>349</v>
      </c>
      <c r="C217" t="s">
        <v>234</v>
      </c>
      <c r="D217">
        <v>290</v>
      </c>
      <c r="E217">
        <v>45</v>
      </c>
      <c r="F217">
        <v>5</v>
      </c>
      <c r="G217">
        <v>8</v>
      </c>
      <c r="H217">
        <v>3.5</v>
      </c>
      <c r="I217">
        <v>17</v>
      </c>
      <c r="J217">
        <v>0</v>
      </c>
      <c r="K217">
        <v>20</v>
      </c>
      <c r="L217">
        <v>7</v>
      </c>
      <c r="M217">
        <v>150</v>
      </c>
      <c r="N217">
        <v>6</v>
      </c>
      <c r="O217">
        <v>50</v>
      </c>
      <c r="P217">
        <v>17</v>
      </c>
      <c r="Q217">
        <v>1</v>
      </c>
      <c r="R217">
        <v>5</v>
      </c>
      <c r="S217">
        <v>43</v>
      </c>
      <c r="T217">
        <v>10</v>
      </c>
      <c r="U217">
        <v>15</v>
      </c>
      <c r="V217">
        <v>0</v>
      </c>
      <c r="W217">
        <v>30</v>
      </c>
      <c r="X217">
        <v>6</v>
      </c>
    </row>
    <row r="218" spans="1:24" x14ac:dyDescent="0.3">
      <c r="A218" t="s">
        <v>268</v>
      </c>
      <c r="B218" t="s">
        <v>350</v>
      </c>
      <c r="C218" t="s">
        <v>265</v>
      </c>
      <c r="D218">
        <v>390</v>
      </c>
      <c r="E218">
        <v>50</v>
      </c>
      <c r="F218">
        <v>6</v>
      </c>
      <c r="G218">
        <v>9</v>
      </c>
      <c r="H218">
        <v>3.5</v>
      </c>
      <c r="I218">
        <v>18</v>
      </c>
      <c r="J218">
        <v>0</v>
      </c>
      <c r="K218">
        <v>25</v>
      </c>
      <c r="L218">
        <v>8</v>
      </c>
      <c r="M218">
        <v>220</v>
      </c>
      <c r="N218">
        <v>9</v>
      </c>
      <c r="O218">
        <v>71</v>
      </c>
      <c r="P218">
        <v>24</v>
      </c>
      <c r="Q218">
        <v>2</v>
      </c>
      <c r="R218">
        <v>8</v>
      </c>
      <c r="S218">
        <v>62</v>
      </c>
      <c r="T218">
        <v>14</v>
      </c>
      <c r="U218">
        <v>20</v>
      </c>
      <c r="V218">
        <v>0</v>
      </c>
      <c r="W218">
        <v>45</v>
      </c>
      <c r="X218">
        <v>8</v>
      </c>
    </row>
    <row r="219" spans="1:24" x14ac:dyDescent="0.3">
      <c r="A219" t="s">
        <v>268</v>
      </c>
      <c r="B219" t="s">
        <v>351</v>
      </c>
      <c r="C219" t="s">
        <v>240</v>
      </c>
      <c r="D219">
        <v>280</v>
      </c>
      <c r="E219">
        <v>100</v>
      </c>
      <c r="F219">
        <v>11</v>
      </c>
      <c r="G219">
        <v>17</v>
      </c>
      <c r="H219">
        <v>7</v>
      </c>
      <c r="I219">
        <v>33</v>
      </c>
      <c r="J219">
        <v>0</v>
      </c>
      <c r="K219">
        <v>35</v>
      </c>
      <c r="L219">
        <v>12</v>
      </c>
      <c r="M219">
        <v>140</v>
      </c>
      <c r="N219">
        <v>6</v>
      </c>
      <c r="O219">
        <v>38</v>
      </c>
      <c r="P219">
        <v>13</v>
      </c>
      <c r="Q219">
        <v>0</v>
      </c>
      <c r="R219">
        <v>0</v>
      </c>
      <c r="S219">
        <v>33</v>
      </c>
      <c r="T219">
        <v>8</v>
      </c>
      <c r="U219">
        <v>10</v>
      </c>
      <c r="V219">
        <v>0</v>
      </c>
      <c r="W219">
        <v>25</v>
      </c>
      <c r="X219">
        <v>2</v>
      </c>
    </row>
    <row r="220" spans="1:24" x14ac:dyDescent="0.3">
      <c r="A220" t="s">
        <v>268</v>
      </c>
      <c r="B220" t="s">
        <v>352</v>
      </c>
      <c r="C220" t="s">
        <v>234</v>
      </c>
      <c r="D220">
        <v>340</v>
      </c>
      <c r="E220">
        <v>110</v>
      </c>
      <c r="F220">
        <v>13</v>
      </c>
      <c r="G220">
        <v>19</v>
      </c>
      <c r="H220">
        <v>7</v>
      </c>
      <c r="I220">
        <v>37</v>
      </c>
      <c r="J220">
        <v>0</v>
      </c>
      <c r="K220">
        <v>40</v>
      </c>
      <c r="L220">
        <v>13</v>
      </c>
      <c r="M220">
        <v>170</v>
      </c>
      <c r="N220">
        <v>7</v>
      </c>
      <c r="O220">
        <v>46</v>
      </c>
      <c r="P220">
        <v>15</v>
      </c>
      <c r="Q220">
        <v>1</v>
      </c>
      <c r="R220">
        <v>2</v>
      </c>
      <c r="S220">
        <v>41</v>
      </c>
      <c r="T220">
        <v>9</v>
      </c>
      <c r="U220">
        <v>10</v>
      </c>
      <c r="V220">
        <v>0</v>
      </c>
      <c r="W220">
        <v>30</v>
      </c>
      <c r="X220">
        <v>2</v>
      </c>
    </row>
    <row r="221" spans="1:24" x14ac:dyDescent="0.3">
      <c r="A221" t="s">
        <v>268</v>
      </c>
      <c r="B221" t="s">
        <v>353</v>
      </c>
      <c r="C221" t="s">
        <v>265</v>
      </c>
      <c r="D221">
        <v>460</v>
      </c>
      <c r="E221">
        <v>150</v>
      </c>
      <c r="F221">
        <v>16</v>
      </c>
      <c r="G221">
        <v>25</v>
      </c>
      <c r="H221">
        <v>10</v>
      </c>
      <c r="I221">
        <v>48</v>
      </c>
      <c r="J221">
        <v>0.5</v>
      </c>
      <c r="K221">
        <v>50</v>
      </c>
      <c r="L221">
        <v>17</v>
      </c>
      <c r="M221">
        <v>250</v>
      </c>
      <c r="N221">
        <v>10</v>
      </c>
      <c r="O221">
        <v>65</v>
      </c>
      <c r="P221">
        <v>22</v>
      </c>
      <c r="Q221">
        <v>1</v>
      </c>
      <c r="R221">
        <v>3</v>
      </c>
      <c r="S221">
        <v>59</v>
      </c>
      <c r="T221">
        <v>13</v>
      </c>
      <c r="U221">
        <v>15</v>
      </c>
      <c r="V221">
        <v>0</v>
      </c>
      <c r="W221">
        <v>40</v>
      </c>
      <c r="X221">
        <v>4</v>
      </c>
    </row>
    <row r="222" spans="1:24" x14ac:dyDescent="0.3">
      <c r="A222" t="s">
        <v>268</v>
      </c>
      <c r="B222" t="s">
        <v>354</v>
      </c>
      <c r="C222" t="s">
        <v>240</v>
      </c>
      <c r="D222">
        <v>230</v>
      </c>
      <c r="E222">
        <v>45</v>
      </c>
      <c r="F222">
        <v>5</v>
      </c>
      <c r="G222">
        <v>8</v>
      </c>
      <c r="H222">
        <v>3</v>
      </c>
      <c r="I222">
        <v>16</v>
      </c>
      <c r="J222">
        <v>0</v>
      </c>
      <c r="K222">
        <v>20</v>
      </c>
      <c r="L222">
        <v>7</v>
      </c>
      <c r="M222">
        <v>140</v>
      </c>
      <c r="N222">
        <v>6</v>
      </c>
      <c r="O222">
        <v>38</v>
      </c>
      <c r="P222">
        <v>13</v>
      </c>
      <c r="Q222">
        <v>0</v>
      </c>
      <c r="R222">
        <v>0</v>
      </c>
      <c r="S222">
        <v>33</v>
      </c>
      <c r="T222">
        <v>8</v>
      </c>
      <c r="U222">
        <v>10</v>
      </c>
      <c r="V222">
        <v>0</v>
      </c>
      <c r="W222">
        <v>25</v>
      </c>
      <c r="X222">
        <v>2</v>
      </c>
    </row>
    <row r="223" spans="1:24" x14ac:dyDescent="0.3">
      <c r="A223" t="s">
        <v>268</v>
      </c>
      <c r="B223" t="s">
        <v>355</v>
      </c>
      <c r="C223" t="s">
        <v>234</v>
      </c>
      <c r="D223">
        <v>270</v>
      </c>
      <c r="E223">
        <v>45</v>
      </c>
      <c r="F223">
        <v>5</v>
      </c>
      <c r="G223">
        <v>8</v>
      </c>
      <c r="H223">
        <v>3</v>
      </c>
      <c r="I223">
        <v>16</v>
      </c>
      <c r="J223">
        <v>0</v>
      </c>
      <c r="K223">
        <v>20</v>
      </c>
      <c r="L223">
        <v>7</v>
      </c>
      <c r="M223">
        <v>170</v>
      </c>
      <c r="N223">
        <v>7</v>
      </c>
      <c r="O223">
        <v>47</v>
      </c>
      <c r="P223">
        <v>16</v>
      </c>
      <c r="Q223">
        <v>1</v>
      </c>
      <c r="R223">
        <v>2</v>
      </c>
      <c r="S223">
        <v>41</v>
      </c>
      <c r="T223">
        <v>10</v>
      </c>
      <c r="U223">
        <v>15</v>
      </c>
      <c r="V223">
        <v>0</v>
      </c>
      <c r="W223">
        <v>30</v>
      </c>
      <c r="X223">
        <v>2</v>
      </c>
    </row>
    <row r="224" spans="1:24" x14ac:dyDescent="0.3">
      <c r="A224" t="s">
        <v>268</v>
      </c>
      <c r="B224" t="s">
        <v>356</v>
      </c>
      <c r="C224" t="s">
        <v>265</v>
      </c>
      <c r="D224">
        <v>370</v>
      </c>
      <c r="E224">
        <v>50</v>
      </c>
      <c r="F224">
        <v>6</v>
      </c>
      <c r="G224">
        <v>8</v>
      </c>
      <c r="H224">
        <v>3.5</v>
      </c>
      <c r="I224">
        <v>17</v>
      </c>
      <c r="J224">
        <v>0</v>
      </c>
      <c r="K224">
        <v>25</v>
      </c>
      <c r="L224">
        <v>8</v>
      </c>
      <c r="M224">
        <v>250</v>
      </c>
      <c r="N224">
        <v>10</v>
      </c>
      <c r="O224">
        <v>65</v>
      </c>
      <c r="P224">
        <v>22</v>
      </c>
      <c r="Q224">
        <v>1</v>
      </c>
      <c r="R224">
        <v>3</v>
      </c>
      <c r="S224">
        <v>59</v>
      </c>
      <c r="T224">
        <v>14</v>
      </c>
      <c r="U224">
        <v>20</v>
      </c>
      <c r="V224">
        <v>0</v>
      </c>
      <c r="W224">
        <v>45</v>
      </c>
      <c r="X224">
        <v>4</v>
      </c>
    </row>
    <row r="225" spans="1:24" x14ac:dyDescent="0.3">
      <c r="A225" t="s">
        <v>268</v>
      </c>
      <c r="B225" t="s">
        <v>357</v>
      </c>
      <c r="C225" t="s">
        <v>240</v>
      </c>
      <c r="D225">
        <v>450</v>
      </c>
      <c r="E225">
        <v>160</v>
      </c>
      <c r="F225">
        <v>18</v>
      </c>
      <c r="G225">
        <v>28</v>
      </c>
      <c r="H225">
        <v>12</v>
      </c>
      <c r="I225">
        <v>59</v>
      </c>
      <c r="J225">
        <v>1</v>
      </c>
      <c r="K225">
        <v>65</v>
      </c>
      <c r="L225">
        <v>21</v>
      </c>
      <c r="M225">
        <v>125</v>
      </c>
      <c r="N225">
        <v>5</v>
      </c>
      <c r="O225">
        <v>65</v>
      </c>
      <c r="P225">
        <v>22</v>
      </c>
      <c r="Q225">
        <v>1</v>
      </c>
      <c r="R225">
        <v>3</v>
      </c>
      <c r="S225">
        <v>57</v>
      </c>
      <c r="T225">
        <v>7</v>
      </c>
      <c r="U225">
        <v>15</v>
      </c>
      <c r="V225">
        <v>0</v>
      </c>
      <c r="W225">
        <v>20</v>
      </c>
      <c r="X225">
        <v>4</v>
      </c>
    </row>
    <row r="226" spans="1:24" x14ac:dyDescent="0.3">
      <c r="A226" t="s">
        <v>268</v>
      </c>
      <c r="B226" t="s">
        <v>358</v>
      </c>
      <c r="C226" t="s">
        <v>234</v>
      </c>
      <c r="D226">
        <v>550</v>
      </c>
      <c r="E226">
        <v>200</v>
      </c>
      <c r="F226">
        <v>22</v>
      </c>
      <c r="G226">
        <v>34</v>
      </c>
      <c r="H226">
        <v>14</v>
      </c>
      <c r="I226">
        <v>71</v>
      </c>
      <c r="J226">
        <v>1</v>
      </c>
      <c r="K226">
        <v>75</v>
      </c>
      <c r="L226">
        <v>25</v>
      </c>
      <c r="M226">
        <v>160</v>
      </c>
      <c r="N226">
        <v>7</v>
      </c>
      <c r="O226">
        <v>80</v>
      </c>
      <c r="P226">
        <v>27</v>
      </c>
      <c r="Q226">
        <v>1</v>
      </c>
      <c r="R226">
        <v>4</v>
      </c>
      <c r="S226">
        <v>71</v>
      </c>
      <c r="T226">
        <v>9</v>
      </c>
      <c r="U226">
        <v>15</v>
      </c>
      <c r="V226">
        <v>0</v>
      </c>
      <c r="W226">
        <v>25</v>
      </c>
      <c r="X226">
        <v>4</v>
      </c>
    </row>
    <row r="227" spans="1:24" x14ac:dyDescent="0.3">
      <c r="A227" t="s">
        <v>268</v>
      </c>
      <c r="B227" t="s">
        <v>359</v>
      </c>
      <c r="C227" t="s">
        <v>265</v>
      </c>
      <c r="D227">
        <v>670</v>
      </c>
      <c r="E227">
        <v>240</v>
      </c>
      <c r="F227">
        <v>26</v>
      </c>
      <c r="G227">
        <v>41</v>
      </c>
      <c r="H227">
        <v>17</v>
      </c>
      <c r="I227">
        <v>85</v>
      </c>
      <c r="J227">
        <v>1</v>
      </c>
      <c r="K227">
        <v>90</v>
      </c>
      <c r="L227">
        <v>30</v>
      </c>
      <c r="M227">
        <v>190</v>
      </c>
      <c r="N227">
        <v>8</v>
      </c>
      <c r="O227">
        <v>98</v>
      </c>
      <c r="P227">
        <v>33</v>
      </c>
      <c r="Q227">
        <v>1</v>
      </c>
      <c r="R227">
        <v>4</v>
      </c>
      <c r="S227">
        <v>88</v>
      </c>
      <c r="T227">
        <v>11</v>
      </c>
      <c r="U227">
        <v>20</v>
      </c>
      <c r="V227">
        <v>0</v>
      </c>
      <c r="W227">
        <v>35</v>
      </c>
      <c r="X227">
        <v>4</v>
      </c>
    </row>
    <row r="228" spans="1:24" x14ac:dyDescent="0.3">
      <c r="A228" t="s">
        <v>268</v>
      </c>
      <c r="B228" t="s">
        <v>360</v>
      </c>
      <c r="C228" t="s">
        <v>240</v>
      </c>
      <c r="D228">
        <v>450</v>
      </c>
      <c r="E228">
        <v>170</v>
      </c>
      <c r="F228">
        <v>19</v>
      </c>
      <c r="G228">
        <v>29</v>
      </c>
      <c r="H228">
        <v>12</v>
      </c>
      <c r="I228">
        <v>60</v>
      </c>
      <c r="J228">
        <v>1</v>
      </c>
      <c r="K228">
        <v>65</v>
      </c>
      <c r="L228">
        <v>22</v>
      </c>
      <c r="M228">
        <v>125</v>
      </c>
      <c r="N228">
        <v>5</v>
      </c>
      <c r="O228">
        <v>64</v>
      </c>
      <c r="P228">
        <v>21</v>
      </c>
      <c r="Q228">
        <v>0</v>
      </c>
      <c r="R228">
        <v>0</v>
      </c>
      <c r="S228">
        <v>57</v>
      </c>
      <c r="T228">
        <v>7</v>
      </c>
      <c r="U228">
        <v>15</v>
      </c>
      <c r="V228">
        <v>0</v>
      </c>
      <c r="W228">
        <v>25</v>
      </c>
      <c r="X228">
        <v>2</v>
      </c>
    </row>
    <row r="229" spans="1:24" x14ac:dyDescent="0.3">
      <c r="A229" t="s">
        <v>268</v>
      </c>
      <c r="B229" t="s">
        <v>361</v>
      </c>
      <c r="C229" t="s">
        <v>234</v>
      </c>
      <c r="D229">
        <v>550</v>
      </c>
      <c r="E229">
        <v>200</v>
      </c>
      <c r="F229">
        <v>23</v>
      </c>
      <c r="G229">
        <v>35</v>
      </c>
      <c r="H229">
        <v>15</v>
      </c>
      <c r="I229">
        <v>73</v>
      </c>
      <c r="J229">
        <v>1</v>
      </c>
      <c r="K229">
        <v>80</v>
      </c>
      <c r="L229">
        <v>27</v>
      </c>
      <c r="M229">
        <v>160</v>
      </c>
      <c r="N229">
        <v>7</v>
      </c>
      <c r="O229">
        <v>79</v>
      </c>
      <c r="P229">
        <v>26</v>
      </c>
      <c r="Q229">
        <v>0</v>
      </c>
      <c r="R229">
        <v>0</v>
      </c>
      <c r="S229">
        <v>71</v>
      </c>
      <c r="T229">
        <v>9</v>
      </c>
      <c r="U229">
        <v>20</v>
      </c>
      <c r="V229">
        <v>0</v>
      </c>
      <c r="W229">
        <v>30</v>
      </c>
      <c r="X229">
        <v>2</v>
      </c>
    </row>
    <row r="230" spans="1:24" x14ac:dyDescent="0.3">
      <c r="A230" t="s">
        <v>268</v>
      </c>
      <c r="B230" t="s">
        <v>362</v>
      </c>
      <c r="C230" t="s">
        <v>265</v>
      </c>
      <c r="D230">
        <v>670</v>
      </c>
      <c r="E230">
        <v>250</v>
      </c>
      <c r="F230">
        <v>27</v>
      </c>
      <c r="G230">
        <v>42</v>
      </c>
      <c r="H230">
        <v>17</v>
      </c>
      <c r="I230">
        <v>87</v>
      </c>
      <c r="J230">
        <v>1.5</v>
      </c>
      <c r="K230">
        <v>95</v>
      </c>
      <c r="L230">
        <v>32</v>
      </c>
      <c r="M230">
        <v>190</v>
      </c>
      <c r="N230">
        <v>8</v>
      </c>
      <c r="O230">
        <v>96</v>
      </c>
      <c r="P230">
        <v>32</v>
      </c>
      <c r="Q230">
        <v>0</v>
      </c>
      <c r="R230">
        <v>0</v>
      </c>
      <c r="S230">
        <v>88</v>
      </c>
      <c r="T230">
        <v>11</v>
      </c>
      <c r="U230">
        <v>20</v>
      </c>
      <c r="V230">
        <v>0</v>
      </c>
      <c r="W230">
        <v>35</v>
      </c>
      <c r="X230">
        <v>2</v>
      </c>
    </row>
    <row r="231" spans="1:24" x14ac:dyDescent="0.3">
      <c r="A231" t="s">
        <v>268</v>
      </c>
      <c r="B231" t="s">
        <v>363</v>
      </c>
      <c r="C231" t="s">
        <v>240</v>
      </c>
      <c r="D231">
        <v>530</v>
      </c>
      <c r="E231">
        <v>200</v>
      </c>
      <c r="F231">
        <v>23</v>
      </c>
      <c r="G231">
        <v>35</v>
      </c>
      <c r="H231">
        <v>14</v>
      </c>
      <c r="I231">
        <v>72</v>
      </c>
      <c r="J231">
        <v>1</v>
      </c>
      <c r="K231">
        <v>65</v>
      </c>
      <c r="L231">
        <v>22</v>
      </c>
      <c r="M231">
        <v>135</v>
      </c>
      <c r="N231">
        <v>6</v>
      </c>
      <c r="O231">
        <v>76</v>
      </c>
      <c r="P231">
        <v>25</v>
      </c>
      <c r="Q231">
        <v>1</v>
      </c>
      <c r="R231">
        <v>5</v>
      </c>
      <c r="S231">
        <v>67</v>
      </c>
      <c r="T231">
        <v>8</v>
      </c>
      <c r="U231">
        <v>15</v>
      </c>
      <c r="V231">
        <v>0</v>
      </c>
      <c r="W231">
        <v>25</v>
      </c>
      <c r="X231">
        <v>4</v>
      </c>
    </row>
    <row r="232" spans="1:24" x14ac:dyDescent="0.3">
      <c r="A232" t="s">
        <v>268</v>
      </c>
      <c r="B232" t="s">
        <v>364</v>
      </c>
      <c r="C232" t="s">
        <v>234</v>
      </c>
      <c r="D232">
        <v>630</v>
      </c>
      <c r="E232">
        <v>240</v>
      </c>
      <c r="F232">
        <v>26</v>
      </c>
      <c r="G232">
        <v>41</v>
      </c>
      <c r="H232">
        <v>17</v>
      </c>
      <c r="I232">
        <v>85</v>
      </c>
      <c r="J232">
        <v>1</v>
      </c>
      <c r="K232">
        <v>80</v>
      </c>
      <c r="L232">
        <v>26</v>
      </c>
      <c r="M232">
        <v>160</v>
      </c>
      <c r="N232">
        <v>7</v>
      </c>
      <c r="O232">
        <v>91</v>
      </c>
      <c r="P232">
        <v>30</v>
      </c>
      <c r="Q232">
        <v>1</v>
      </c>
      <c r="R232">
        <v>5</v>
      </c>
      <c r="S232">
        <v>81</v>
      </c>
      <c r="T232">
        <v>9</v>
      </c>
      <c r="U232">
        <v>15</v>
      </c>
      <c r="V232">
        <v>0</v>
      </c>
      <c r="W232">
        <v>30</v>
      </c>
      <c r="X232">
        <v>4</v>
      </c>
    </row>
    <row r="233" spans="1:24" x14ac:dyDescent="0.3">
      <c r="A233" t="s">
        <v>268</v>
      </c>
      <c r="B233" t="s">
        <v>365</v>
      </c>
      <c r="C233" t="s">
        <v>265</v>
      </c>
      <c r="D233">
        <v>760</v>
      </c>
      <c r="E233">
        <v>280</v>
      </c>
      <c r="F233">
        <v>31</v>
      </c>
      <c r="G233">
        <v>48</v>
      </c>
      <c r="H233">
        <v>20</v>
      </c>
      <c r="I233">
        <v>101</v>
      </c>
      <c r="J233">
        <v>1.5</v>
      </c>
      <c r="K233">
        <v>95</v>
      </c>
      <c r="L233">
        <v>32</v>
      </c>
      <c r="M233">
        <v>200</v>
      </c>
      <c r="N233">
        <v>8</v>
      </c>
      <c r="O233">
        <v>111</v>
      </c>
      <c r="P233">
        <v>37</v>
      </c>
      <c r="Q233">
        <v>1</v>
      </c>
      <c r="R233">
        <v>5</v>
      </c>
      <c r="S233">
        <v>99</v>
      </c>
      <c r="T233">
        <v>12</v>
      </c>
      <c r="U233">
        <v>20</v>
      </c>
      <c r="V233">
        <v>0</v>
      </c>
      <c r="W233">
        <v>35</v>
      </c>
      <c r="X233">
        <v>6</v>
      </c>
    </row>
    <row r="234" spans="1:24" x14ac:dyDescent="0.3">
      <c r="A234" t="s">
        <v>366</v>
      </c>
      <c r="B234" t="s">
        <v>367</v>
      </c>
      <c r="C234" t="s">
        <v>240</v>
      </c>
      <c r="D234">
        <v>220</v>
      </c>
      <c r="E234">
        <v>5</v>
      </c>
      <c r="F234">
        <v>0.5</v>
      </c>
      <c r="G234">
        <v>1</v>
      </c>
      <c r="H234">
        <v>0</v>
      </c>
      <c r="I234">
        <v>0</v>
      </c>
      <c r="J234">
        <v>0</v>
      </c>
      <c r="K234">
        <v>5</v>
      </c>
      <c r="L234">
        <v>1</v>
      </c>
      <c r="M234">
        <v>40</v>
      </c>
      <c r="N234">
        <v>2</v>
      </c>
      <c r="O234">
        <v>50</v>
      </c>
      <c r="P234">
        <v>17</v>
      </c>
      <c r="Q234">
        <v>3</v>
      </c>
      <c r="R234">
        <v>12</v>
      </c>
      <c r="S234">
        <v>44</v>
      </c>
      <c r="T234">
        <v>2</v>
      </c>
      <c r="U234">
        <v>0</v>
      </c>
      <c r="V234">
        <v>2</v>
      </c>
      <c r="W234">
        <v>6</v>
      </c>
      <c r="X234">
        <v>2</v>
      </c>
    </row>
    <row r="235" spans="1:24" x14ac:dyDescent="0.3">
      <c r="A235" t="s">
        <v>366</v>
      </c>
      <c r="B235" t="s">
        <v>368</v>
      </c>
      <c r="C235" t="s">
        <v>234</v>
      </c>
      <c r="D235">
        <v>260</v>
      </c>
      <c r="E235">
        <v>5</v>
      </c>
      <c r="F235">
        <v>1</v>
      </c>
      <c r="G235">
        <v>1</v>
      </c>
      <c r="H235">
        <v>0</v>
      </c>
      <c r="I235">
        <v>0</v>
      </c>
      <c r="J235">
        <v>0</v>
      </c>
      <c r="K235">
        <v>5</v>
      </c>
      <c r="L235">
        <v>1</v>
      </c>
      <c r="M235">
        <v>50</v>
      </c>
      <c r="N235">
        <v>2</v>
      </c>
      <c r="O235">
        <v>62</v>
      </c>
      <c r="P235">
        <v>21</v>
      </c>
      <c r="Q235">
        <v>4</v>
      </c>
      <c r="R235">
        <v>15</v>
      </c>
      <c r="S235">
        <v>54</v>
      </c>
      <c r="T235">
        <v>3</v>
      </c>
      <c r="U235">
        <v>0</v>
      </c>
      <c r="V235">
        <v>4</v>
      </c>
      <c r="W235">
        <v>8</v>
      </c>
      <c r="X235">
        <v>2</v>
      </c>
    </row>
    <row r="236" spans="1:24" x14ac:dyDescent="0.3">
      <c r="A236" t="s">
        <v>366</v>
      </c>
      <c r="B236" t="s">
        <v>369</v>
      </c>
      <c r="C236" t="s">
        <v>265</v>
      </c>
      <c r="D236">
        <v>340</v>
      </c>
      <c r="E236">
        <v>10</v>
      </c>
      <c r="F236">
        <v>1</v>
      </c>
      <c r="G236">
        <v>2</v>
      </c>
      <c r="H236">
        <v>0.5</v>
      </c>
      <c r="I236">
        <v>3</v>
      </c>
      <c r="J236">
        <v>0</v>
      </c>
      <c r="K236">
        <v>5</v>
      </c>
      <c r="L236">
        <v>2</v>
      </c>
      <c r="M236">
        <v>65</v>
      </c>
      <c r="N236">
        <v>3</v>
      </c>
      <c r="O236">
        <v>79</v>
      </c>
      <c r="P236">
        <v>26</v>
      </c>
      <c r="Q236">
        <v>5</v>
      </c>
      <c r="R236">
        <v>19</v>
      </c>
      <c r="S236">
        <v>70</v>
      </c>
      <c r="T236">
        <v>4</v>
      </c>
      <c r="U236">
        <v>0</v>
      </c>
      <c r="V236">
        <v>4</v>
      </c>
      <c r="W236">
        <v>10</v>
      </c>
      <c r="X236">
        <v>2</v>
      </c>
    </row>
    <row r="237" spans="1:24" x14ac:dyDescent="0.3">
      <c r="A237" t="s">
        <v>366</v>
      </c>
      <c r="B237" t="s">
        <v>370</v>
      </c>
      <c r="C237" t="s">
        <v>240</v>
      </c>
      <c r="D237">
        <v>210</v>
      </c>
      <c r="E237">
        <v>5</v>
      </c>
      <c r="F237">
        <v>0.5</v>
      </c>
      <c r="G237">
        <v>1</v>
      </c>
      <c r="H237">
        <v>0</v>
      </c>
      <c r="I237">
        <v>0</v>
      </c>
      <c r="J237">
        <v>0</v>
      </c>
      <c r="K237">
        <v>5</v>
      </c>
      <c r="L237">
        <v>1</v>
      </c>
      <c r="M237">
        <v>50</v>
      </c>
      <c r="N237">
        <v>2</v>
      </c>
      <c r="O237">
        <v>47</v>
      </c>
      <c r="P237">
        <v>16</v>
      </c>
      <c r="Q237">
        <v>3</v>
      </c>
      <c r="R237">
        <v>10</v>
      </c>
      <c r="S237">
        <v>44</v>
      </c>
      <c r="T237">
        <v>3</v>
      </c>
      <c r="U237">
        <v>0</v>
      </c>
      <c r="V237">
        <v>30</v>
      </c>
      <c r="W237">
        <v>8</v>
      </c>
      <c r="X237">
        <v>2</v>
      </c>
    </row>
    <row r="238" spans="1:24" x14ac:dyDescent="0.3">
      <c r="A238" t="s">
        <v>366</v>
      </c>
      <c r="B238" t="s">
        <v>371</v>
      </c>
      <c r="C238" t="s">
        <v>234</v>
      </c>
      <c r="D238">
        <v>250</v>
      </c>
      <c r="E238">
        <v>5</v>
      </c>
      <c r="F238">
        <v>1</v>
      </c>
      <c r="G238">
        <v>1</v>
      </c>
      <c r="H238">
        <v>0</v>
      </c>
      <c r="I238">
        <v>0</v>
      </c>
      <c r="J238">
        <v>0</v>
      </c>
      <c r="K238">
        <v>5</v>
      </c>
      <c r="L238">
        <v>1</v>
      </c>
      <c r="M238">
        <v>60</v>
      </c>
      <c r="N238">
        <v>2</v>
      </c>
      <c r="O238">
        <v>58</v>
      </c>
      <c r="P238">
        <v>19</v>
      </c>
      <c r="Q238">
        <v>3</v>
      </c>
      <c r="R238">
        <v>13</v>
      </c>
      <c r="S238">
        <v>54</v>
      </c>
      <c r="T238">
        <v>4</v>
      </c>
      <c r="U238">
        <v>0</v>
      </c>
      <c r="V238">
        <v>35</v>
      </c>
      <c r="W238">
        <v>8</v>
      </c>
      <c r="X238">
        <v>4</v>
      </c>
    </row>
    <row r="239" spans="1:24" x14ac:dyDescent="0.3">
      <c r="A239" t="s">
        <v>366</v>
      </c>
      <c r="B239" t="s">
        <v>372</v>
      </c>
      <c r="C239" t="s">
        <v>265</v>
      </c>
      <c r="D239">
        <v>330</v>
      </c>
      <c r="E239">
        <v>10</v>
      </c>
      <c r="F239">
        <v>1</v>
      </c>
      <c r="G239">
        <v>2</v>
      </c>
      <c r="H239">
        <v>0.5</v>
      </c>
      <c r="I239">
        <v>3</v>
      </c>
      <c r="J239">
        <v>0</v>
      </c>
      <c r="K239">
        <v>5</v>
      </c>
      <c r="L239">
        <v>2</v>
      </c>
      <c r="M239">
        <v>80</v>
      </c>
      <c r="N239">
        <v>3</v>
      </c>
      <c r="O239">
        <v>74</v>
      </c>
      <c r="P239">
        <v>25</v>
      </c>
      <c r="Q239">
        <v>4</v>
      </c>
      <c r="R239">
        <v>16</v>
      </c>
      <c r="S239">
        <v>70</v>
      </c>
      <c r="T239">
        <v>5</v>
      </c>
      <c r="U239">
        <v>0</v>
      </c>
      <c r="V239">
        <v>45</v>
      </c>
      <c r="W239">
        <v>10</v>
      </c>
      <c r="X239">
        <v>4</v>
      </c>
    </row>
    <row r="240" spans="1:24" x14ac:dyDescent="0.3">
      <c r="A240" t="s">
        <v>366</v>
      </c>
      <c r="B240" t="s">
        <v>373</v>
      </c>
      <c r="C240" t="s">
        <v>240</v>
      </c>
      <c r="D240">
        <v>210</v>
      </c>
      <c r="E240">
        <v>5</v>
      </c>
      <c r="F240">
        <v>0.5</v>
      </c>
      <c r="G240">
        <v>1</v>
      </c>
      <c r="H240">
        <v>0</v>
      </c>
      <c r="I240">
        <v>0</v>
      </c>
      <c r="J240">
        <v>0</v>
      </c>
      <c r="K240">
        <v>5</v>
      </c>
      <c r="L240">
        <v>1</v>
      </c>
      <c r="M240">
        <v>40</v>
      </c>
      <c r="N240">
        <v>2</v>
      </c>
      <c r="O240">
        <v>50</v>
      </c>
      <c r="P240">
        <v>17</v>
      </c>
      <c r="Q240">
        <v>1</v>
      </c>
      <c r="R240">
        <v>4</v>
      </c>
      <c r="S240">
        <v>46</v>
      </c>
      <c r="T240">
        <v>2</v>
      </c>
      <c r="U240">
        <v>30</v>
      </c>
      <c r="V240">
        <v>20</v>
      </c>
      <c r="W240">
        <v>8</v>
      </c>
      <c r="X240">
        <v>2</v>
      </c>
    </row>
    <row r="241" spans="1:24" x14ac:dyDescent="0.3">
      <c r="A241" t="s">
        <v>366</v>
      </c>
      <c r="B241" t="s">
        <v>374</v>
      </c>
      <c r="C241" t="s">
        <v>234</v>
      </c>
      <c r="D241">
        <v>260</v>
      </c>
      <c r="E241">
        <v>10</v>
      </c>
      <c r="F241">
        <v>1</v>
      </c>
      <c r="G241">
        <v>1</v>
      </c>
      <c r="H241">
        <v>0</v>
      </c>
      <c r="I241">
        <v>0</v>
      </c>
      <c r="J241">
        <v>0</v>
      </c>
      <c r="K241">
        <v>5</v>
      </c>
      <c r="L241">
        <v>1</v>
      </c>
      <c r="M241">
        <v>45</v>
      </c>
      <c r="N241">
        <v>2</v>
      </c>
      <c r="O241">
        <v>61</v>
      </c>
      <c r="P241">
        <v>20</v>
      </c>
      <c r="Q241">
        <v>1</v>
      </c>
      <c r="R241">
        <v>5</v>
      </c>
      <c r="S241">
        <v>56</v>
      </c>
      <c r="T241">
        <v>3</v>
      </c>
      <c r="U241">
        <v>40</v>
      </c>
      <c r="V241">
        <v>25</v>
      </c>
      <c r="W241">
        <v>8</v>
      </c>
      <c r="X241">
        <v>2</v>
      </c>
    </row>
    <row r="242" spans="1:24" x14ac:dyDescent="0.3">
      <c r="A242" t="s">
        <v>366</v>
      </c>
      <c r="B242" t="s">
        <v>375</v>
      </c>
      <c r="C242" t="s">
        <v>265</v>
      </c>
      <c r="D242">
        <v>340</v>
      </c>
      <c r="E242">
        <v>10</v>
      </c>
      <c r="F242">
        <v>1</v>
      </c>
      <c r="G242">
        <v>2</v>
      </c>
      <c r="H242">
        <v>0.5</v>
      </c>
      <c r="I242">
        <v>3</v>
      </c>
      <c r="J242">
        <v>0</v>
      </c>
      <c r="K242">
        <v>5</v>
      </c>
      <c r="L242">
        <v>2</v>
      </c>
      <c r="M242">
        <v>60</v>
      </c>
      <c r="N242">
        <v>3</v>
      </c>
      <c r="O242">
        <v>78</v>
      </c>
      <c r="P242">
        <v>26</v>
      </c>
      <c r="Q242">
        <v>2</v>
      </c>
      <c r="R242">
        <v>6</v>
      </c>
      <c r="S242">
        <v>72</v>
      </c>
      <c r="T242">
        <v>4</v>
      </c>
      <c r="U242">
        <v>50</v>
      </c>
      <c r="V242">
        <v>30</v>
      </c>
      <c r="W242">
        <v>10</v>
      </c>
      <c r="X242">
        <v>2</v>
      </c>
    </row>
    <row r="243" spans="1:24" x14ac:dyDescent="0.3">
      <c r="A243" t="s">
        <v>366</v>
      </c>
      <c r="B243" t="s">
        <v>376</v>
      </c>
      <c r="C243" t="s">
        <v>240</v>
      </c>
      <c r="D243">
        <v>530</v>
      </c>
      <c r="E243">
        <v>140</v>
      </c>
      <c r="F243">
        <v>15</v>
      </c>
      <c r="G243">
        <v>24</v>
      </c>
      <c r="H243">
        <v>10</v>
      </c>
      <c r="I243">
        <v>49</v>
      </c>
      <c r="J243">
        <v>1</v>
      </c>
      <c r="K243">
        <v>60</v>
      </c>
      <c r="L243">
        <v>20</v>
      </c>
      <c r="M243">
        <v>160</v>
      </c>
      <c r="N243">
        <v>7</v>
      </c>
      <c r="O243">
        <v>86</v>
      </c>
      <c r="P243">
        <v>29</v>
      </c>
      <c r="Q243">
        <v>0</v>
      </c>
      <c r="R243">
        <v>0</v>
      </c>
      <c r="S243">
        <v>63</v>
      </c>
      <c r="T243">
        <v>11</v>
      </c>
      <c r="U243">
        <v>20</v>
      </c>
      <c r="V243">
        <v>0</v>
      </c>
      <c r="W243">
        <v>40</v>
      </c>
      <c r="X243">
        <v>0</v>
      </c>
    </row>
    <row r="244" spans="1:24" x14ac:dyDescent="0.3">
      <c r="A244" t="s">
        <v>366</v>
      </c>
      <c r="B244" t="s">
        <v>377</v>
      </c>
      <c r="C244" t="s">
        <v>234</v>
      </c>
      <c r="D244">
        <v>660</v>
      </c>
      <c r="E244">
        <v>170</v>
      </c>
      <c r="F244">
        <v>19</v>
      </c>
      <c r="G244">
        <v>29</v>
      </c>
      <c r="H244">
        <v>12</v>
      </c>
      <c r="I244">
        <v>61</v>
      </c>
      <c r="J244">
        <v>1</v>
      </c>
      <c r="K244">
        <v>75</v>
      </c>
      <c r="L244">
        <v>24</v>
      </c>
      <c r="M244">
        <v>200</v>
      </c>
      <c r="N244">
        <v>9</v>
      </c>
      <c r="O244">
        <v>109</v>
      </c>
      <c r="P244">
        <v>36</v>
      </c>
      <c r="Q244">
        <v>0</v>
      </c>
      <c r="R244">
        <v>0</v>
      </c>
      <c r="S244">
        <v>81</v>
      </c>
      <c r="T244">
        <v>14</v>
      </c>
      <c r="U244">
        <v>25</v>
      </c>
      <c r="V244">
        <v>0</v>
      </c>
      <c r="W244">
        <v>50</v>
      </c>
      <c r="X244">
        <v>0</v>
      </c>
    </row>
    <row r="245" spans="1:24" x14ac:dyDescent="0.3">
      <c r="A245" t="s">
        <v>366</v>
      </c>
      <c r="B245" t="s">
        <v>378</v>
      </c>
      <c r="C245" t="s">
        <v>265</v>
      </c>
      <c r="D245">
        <v>820</v>
      </c>
      <c r="E245">
        <v>210</v>
      </c>
      <c r="F245">
        <v>23</v>
      </c>
      <c r="G245">
        <v>35</v>
      </c>
      <c r="H245">
        <v>15</v>
      </c>
      <c r="I245">
        <v>73</v>
      </c>
      <c r="J245">
        <v>1</v>
      </c>
      <c r="K245">
        <v>90</v>
      </c>
      <c r="L245">
        <v>29</v>
      </c>
      <c r="M245">
        <v>260</v>
      </c>
      <c r="N245">
        <v>11</v>
      </c>
      <c r="O245">
        <v>135</v>
      </c>
      <c r="P245">
        <v>45</v>
      </c>
      <c r="Q245">
        <v>0</v>
      </c>
      <c r="R245">
        <v>0</v>
      </c>
      <c r="S245">
        <v>101</v>
      </c>
      <c r="T245">
        <v>18</v>
      </c>
      <c r="U245">
        <v>30</v>
      </c>
      <c r="V245">
        <v>0</v>
      </c>
      <c r="W245">
        <v>60</v>
      </c>
      <c r="X245">
        <v>0</v>
      </c>
    </row>
    <row r="246" spans="1:24" x14ac:dyDescent="0.3">
      <c r="A246" t="s">
        <v>366</v>
      </c>
      <c r="B246" t="s">
        <v>379</v>
      </c>
      <c r="C246" t="s">
        <v>240</v>
      </c>
      <c r="D246">
        <v>550</v>
      </c>
      <c r="E246">
        <v>150</v>
      </c>
      <c r="F246">
        <v>16</v>
      </c>
      <c r="G246">
        <v>25</v>
      </c>
      <c r="H246">
        <v>10</v>
      </c>
      <c r="I246">
        <v>52</v>
      </c>
      <c r="J246">
        <v>1</v>
      </c>
      <c r="K246">
        <v>60</v>
      </c>
      <c r="L246">
        <v>21</v>
      </c>
      <c r="M246">
        <v>160</v>
      </c>
      <c r="N246">
        <v>7</v>
      </c>
      <c r="O246">
        <v>90</v>
      </c>
      <c r="P246">
        <v>30</v>
      </c>
      <c r="Q246">
        <v>0</v>
      </c>
      <c r="R246">
        <v>0</v>
      </c>
      <c r="S246">
        <v>79</v>
      </c>
      <c r="T246">
        <v>12</v>
      </c>
      <c r="U246">
        <v>20</v>
      </c>
      <c r="V246">
        <v>0</v>
      </c>
      <c r="W246">
        <v>40</v>
      </c>
      <c r="X246">
        <v>0</v>
      </c>
    </row>
    <row r="247" spans="1:24" x14ac:dyDescent="0.3">
      <c r="A247" t="s">
        <v>366</v>
      </c>
      <c r="B247" t="s">
        <v>380</v>
      </c>
      <c r="C247" t="s">
        <v>234</v>
      </c>
      <c r="D247">
        <v>690</v>
      </c>
      <c r="E247">
        <v>180</v>
      </c>
      <c r="F247">
        <v>20</v>
      </c>
      <c r="G247">
        <v>30</v>
      </c>
      <c r="H247">
        <v>13</v>
      </c>
      <c r="I247">
        <v>63</v>
      </c>
      <c r="J247">
        <v>1</v>
      </c>
      <c r="K247">
        <v>75</v>
      </c>
      <c r="L247">
        <v>25</v>
      </c>
      <c r="M247">
        <v>210</v>
      </c>
      <c r="N247">
        <v>9</v>
      </c>
      <c r="O247">
        <v>114</v>
      </c>
      <c r="P247">
        <v>38</v>
      </c>
      <c r="Q247">
        <v>0</v>
      </c>
      <c r="R247">
        <v>0</v>
      </c>
      <c r="S247">
        <v>100</v>
      </c>
      <c r="T247">
        <v>15</v>
      </c>
      <c r="U247">
        <v>25</v>
      </c>
      <c r="V247">
        <v>0</v>
      </c>
      <c r="W247">
        <v>50</v>
      </c>
      <c r="X247">
        <v>0</v>
      </c>
    </row>
    <row r="248" spans="1:24" x14ac:dyDescent="0.3">
      <c r="A248" t="s">
        <v>366</v>
      </c>
      <c r="B248" t="s">
        <v>381</v>
      </c>
      <c r="C248" t="s">
        <v>265</v>
      </c>
      <c r="D248">
        <v>850</v>
      </c>
      <c r="E248">
        <v>210</v>
      </c>
      <c r="F248">
        <v>24</v>
      </c>
      <c r="G248">
        <v>36</v>
      </c>
      <c r="H248">
        <v>15</v>
      </c>
      <c r="I248">
        <v>75</v>
      </c>
      <c r="J248">
        <v>1</v>
      </c>
      <c r="K248">
        <v>90</v>
      </c>
      <c r="L248">
        <v>30</v>
      </c>
      <c r="M248">
        <v>260</v>
      </c>
      <c r="N248">
        <v>11</v>
      </c>
      <c r="O248">
        <v>140</v>
      </c>
      <c r="P248">
        <v>47</v>
      </c>
      <c r="Q248">
        <v>0</v>
      </c>
      <c r="R248">
        <v>0</v>
      </c>
      <c r="S248">
        <v>123</v>
      </c>
      <c r="T248">
        <v>18</v>
      </c>
      <c r="U248">
        <v>30</v>
      </c>
      <c r="V248">
        <v>0</v>
      </c>
      <c r="W248">
        <v>70</v>
      </c>
      <c r="X248">
        <v>0</v>
      </c>
    </row>
    <row r="249" spans="1:24" x14ac:dyDescent="0.3">
      <c r="A249" t="s">
        <v>366</v>
      </c>
      <c r="B249" t="s">
        <v>382</v>
      </c>
      <c r="C249" t="s">
        <v>240</v>
      </c>
      <c r="D249">
        <v>560</v>
      </c>
      <c r="E249">
        <v>150</v>
      </c>
      <c r="F249">
        <v>16</v>
      </c>
      <c r="G249">
        <v>25</v>
      </c>
      <c r="H249">
        <v>10</v>
      </c>
      <c r="I249">
        <v>51</v>
      </c>
      <c r="J249">
        <v>1</v>
      </c>
      <c r="K249">
        <v>60</v>
      </c>
      <c r="L249">
        <v>20</v>
      </c>
      <c r="M249">
        <v>240</v>
      </c>
      <c r="N249">
        <v>10</v>
      </c>
      <c r="O249">
        <v>91</v>
      </c>
      <c r="P249">
        <v>30</v>
      </c>
      <c r="Q249">
        <v>1</v>
      </c>
      <c r="R249">
        <v>5</v>
      </c>
      <c r="S249">
        <v>77</v>
      </c>
      <c r="T249">
        <v>12</v>
      </c>
      <c r="U249">
        <v>20</v>
      </c>
      <c r="V249">
        <v>0</v>
      </c>
      <c r="W249">
        <v>40</v>
      </c>
      <c r="X249">
        <v>8</v>
      </c>
    </row>
    <row r="250" spans="1:24" x14ac:dyDescent="0.3">
      <c r="A250" t="s">
        <v>366</v>
      </c>
      <c r="B250" t="s">
        <v>383</v>
      </c>
      <c r="C250" t="s">
        <v>234</v>
      </c>
      <c r="D250">
        <v>700</v>
      </c>
      <c r="E250">
        <v>180</v>
      </c>
      <c r="F250">
        <v>20</v>
      </c>
      <c r="G250">
        <v>30</v>
      </c>
      <c r="H250">
        <v>12</v>
      </c>
      <c r="I250">
        <v>62</v>
      </c>
      <c r="J250">
        <v>1</v>
      </c>
      <c r="K250">
        <v>75</v>
      </c>
      <c r="L250">
        <v>24</v>
      </c>
      <c r="M250">
        <v>300</v>
      </c>
      <c r="N250">
        <v>13</v>
      </c>
      <c r="O250">
        <v>114</v>
      </c>
      <c r="P250">
        <v>38</v>
      </c>
      <c r="Q250">
        <v>2</v>
      </c>
      <c r="R250">
        <v>6</v>
      </c>
      <c r="S250">
        <v>97</v>
      </c>
      <c r="T250">
        <v>15</v>
      </c>
      <c r="U250">
        <v>25</v>
      </c>
      <c r="V250">
        <v>0</v>
      </c>
      <c r="W250">
        <v>50</v>
      </c>
      <c r="X250">
        <v>10</v>
      </c>
    </row>
    <row r="251" spans="1:24" x14ac:dyDescent="0.3">
      <c r="A251" t="s">
        <v>366</v>
      </c>
      <c r="B251" t="s">
        <v>384</v>
      </c>
      <c r="C251" t="s">
        <v>265</v>
      </c>
      <c r="D251">
        <v>850</v>
      </c>
      <c r="E251">
        <v>210</v>
      </c>
      <c r="F251">
        <v>23</v>
      </c>
      <c r="G251">
        <v>36</v>
      </c>
      <c r="H251">
        <v>15</v>
      </c>
      <c r="I251">
        <v>74</v>
      </c>
      <c r="J251">
        <v>1</v>
      </c>
      <c r="K251">
        <v>85</v>
      </c>
      <c r="L251">
        <v>29</v>
      </c>
      <c r="M251">
        <v>380</v>
      </c>
      <c r="N251">
        <v>16</v>
      </c>
      <c r="O251">
        <v>141</v>
      </c>
      <c r="P251">
        <v>47</v>
      </c>
      <c r="Q251">
        <v>2</v>
      </c>
      <c r="R251">
        <v>8</v>
      </c>
      <c r="S251">
        <v>120</v>
      </c>
      <c r="T251">
        <v>19</v>
      </c>
      <c r="U251">
        <v>30</v>
      </c>
      <c r="V251">
        <v>0</v>
      </c>
      <c r="W251">
        <v>60</v>
      </c>
      <c r="X251">
        <v>15</v>
      </c>
    </row>
    <row r="252" spans="1:24" x14ac:dyDescent="0.3">
      <c r="A252" t="s">
        <v>366</v>
      </c>
      <c r="B252" t="s">
        <v>385</v>
      </c>
      <c r="C252" t="s">
        <v>234</v>
      </c>
      <c r="D252">
        <v>660</v>
      </c>
      <c r="E252">
        <v>170</v>
      </c>
      <c r="F252">
        <v>19</v>
      </c>
      <c r="G252">
        <v>29</v>
      </c>
      <c r="H252">
        <v>12</v>
      </c>
      <c r="I252">
        <v>61</v>
      </c>
      <c r="J252">
        <v>1</v>
      </c>
      <c r="K252">
        <v>75</v>
      </c>
      <c r="L252">
        <v>24</v>
      </c>
      <c r="M252">
        <v>210</v>
      </c>
      <c r="N252">
        <v>9</v>
      </c>
      <c r="O252">
        <v>109</v>
      </c>
      <c r="P252">
        <v>36</v>
      </c>
      <c r="Q252">
        <v>0</v>
      </c>
      <c r="R252">
        <v>0</v>
      </c>
      <c r="S252">
        <v>93</v>
      </c>
      <c r="T252">
        <v>14</v>
      </c>
      <c r="U252">
        <v>25</v>
      </c>
      <c r="V252">
        <v>0</v>
      </c>
      <c r="W252">
        <v>50</v>
      </c>
      <c r="X252">
        <v>0</v>
      </c>
    </row>
    <row r="253" spans="1:24" x14ac:dyDescent="0.3">
      <c r="A253" t="s">
        <v>366</v>
      </c>
      <c r="B253" t="s">
        <v>386</v>
      </c>
      <c r="C253" t="s">
        <v>265</v>
      </c>
      <c r="D253">
        <v>820</v>
      </c>
      <c r="E253">
        <v>210</v>
      </c>
      <c r="F253">
        <v>23</v>
      </c>
      <c r="G253">
        <v>35</v>
      </c>
      <c r="H253">
        <v>15</v>
      </c>
      <c r="I253">
        <v>73</v>
      </c>
      <c r="J253">
        <v>1</v>
      </c>
      <c r="K253">
        <v>90</v>
      </c>
      <c r="L253">
        <v>29</v>
      </c>
      <c r="M253">
        <v>260</v>
      </c>
      <c r="N253">
        <v>11</v>
      </c>
      <c r="O253">
        <v>135</v>
      </c>
      <c r="P253">
        <v>45</v>
      </c>
      <c r="Q253">
        <v>0</v>
      </c>
      <c r="R253">
        <v>0</v>
      </c>
      <c r="S253">
        <v>115</v>
      </c>
      <c r="T253">
        <v>18</v>
      </c>
      <c r="U253">
        <v>30</v>
      </c>
      <c r="V253">
        <v>0</v>
      </c>
      <c r="W253">
        <v>60</v>
      </c>
      <c r="X253">
        <v>0</v>
      </c>
    </row>
    <row r="254" spans="1:24" x14ac:dyDescent="0.3">
      <c r="A254" t="s">
        <v>366</v>
      </c>
      <c r="B254" t="s">
        <v>387</v>
      </c>
      <c r="C254" t="s">
        <v>160</v>
      </c>
      <c r="D254">
        <v>650</v>
      </c>
      <c r="E254">
        <v>210</v>
      </c>
      <c r="F254">
        <v>23</v>
      </c>
      <c r="G254">
        <v>35</v>
      </c>
      <c r="H254">
        <v>14</v>
      </c>
      <c r="I254">
        <v>72</v>
      </c>
      <c r="J254">
        <v>0.5</v>
      </c>
      <c r="K254">
        <v>50</v>
      </c>
      <c r="L254">
        <v>17</v>
      </c>
      <c r="M254">
        <v>180</v>
      </c>
      <c r="N254">
        <v>7</v>
      </c>
      <c r="O254">
        <v>96</v>
      </c>
      <c r="P254">
        <v>32</v>
      </c>
      <c r="Q254">
        <v>1</v>
      </c>
      <c r="R254">
        <v>6</v>
      </c>
      <c r="S254">
        <v>89</v>
      </c>
      <c r="T254">
        <v>13</v>
      </c>
      <c r="U254">
        <v>15</v>
      </c>
      <c r="V254">
        <v>0</v>
      </c>
      <c r="W254">
        <v>45</v>
      </c>
      <c r="X254">
        <v>8</v>
      </c>
    </row>
    <row r="255" spans="1:24" x14ac:dyDescent="0.3">
      <c r="A255" t="s">
        <v>366</v>
      </c>
      <c r="B255" t="s">
        <v>388</v>
      </c>
      <c r="C255" t="s">
        <v>389</v>
      </c>
      <c r="D255">
        <v>930</v>
      </c>
      <c r="E255">
        <v>290</v>
      </c>
      <c r="F255">
        <v>33</v>
      </c>
      <c r="G255">
        <v>50</v>
      </c>
      <c r="H255">
        <v>20</v>
      </c>
      <c r="I255">
        <v>102</v>
      </c>
      <c r="J255">
        <v>1</v>
      </c>
      <c r="K255">
        <v>75</v>
      </c>
      <c r="L255">
        <v>25</v>
      </c>
      <c r="M255">
        <v>260</v>
      </c>
      <c r="N255">
        <v>11</v>
      </c>
      <c r="O255">
        <v>139</v>
      </c>
      <c r="P255">
        <v>46</v>
      </c>
      <c r="Q255">
        <v>2</v>
      </c>
      <c r="R255">
        <v>7</v>
      </c>
      <c r="S255">
        <v>128</v>
      </c>
      <c r="T255">
        <v>20</v>
      </c>
      <c r="U255">
        <v>25</v>
      </c>
      <c r="V255">
        <v>0</v>
      </c>
      <c r="W255">
        <v>70</v>
      </c>
      <c r="X255">
        <v>10</v>
      </c>
    </row>
    <row r="256" spans="1:24" x14ac:dyDescent="0.3">
      <c r="A256" t="s">
        <v>366</v>
      </c>
      <c r="B256" t="s">
        <v>390</v>
      </c>
      <c r="C256" t="s">
        <v>391</v>
      </c>
      <c r="D256">
        <v>430</v>
      </c>
      <c r="E256">
        <v>140</v>
      </c>
      <c r="F256">
        <v>15</v>
      </c>
      <c r="G256">
        <v>24</v>
      </c>
      <c r="H256">
        <v>10</v>
      </c>
      <c r="I256">
        <v>48</v>
      </c>
      <c r="J256">
        <v>0</v>
      </c>
      <c r="K256">
        <v>35</v>
      </c>
      <c r="L256">
        <v>11</v>
      </c>
      <c r="M256">
        <v>120</v>
      </c>
      <c r="N256">
        <v>5</v>
      </c>
      <c r="O256">
        <v>64</v>
      </c>
      <c r="P256">
        <v>21</v>
      </c>
      <c r="Q256">
        <v>1</v>
      </c>
      <c r="R256">
        <v>4</v>
      </c>
      <c r="S256">
        <v>59</v>
      </c>
      <c r="T256">
        <v>9</v>
      </c>
      <c r="U256">
        <v>10</v>
      </c>
      <c r="V256">
        <v>0</v>
      </c>
      <c r="W256">
        <v>30</v>
      </c>
      <c r="X256">
        <v>4</v>
      </c>
    </row>
    <row r="257" spans="1:24" x14ac:dyDescent="0.3">
      <c r="A257" t="s">
        <v>366</v>
      </c>
      <c r="B257" t="s">
        <v>392</v>
      </c>
      <c r="C257" t="s">
        <v>393</v>
      </c>
      <c r="D257">
        <v>510</v>
      </c>
      <c r="E257">
        <v>150</v>
      </c>
      <c r="F257">
        <v>17</v>
      </c>
      <c r="G257">
        <v>26</v>
      </c>
      <c r="H257">
        <v>9</v>
      </c>
      <c r="I257">
        <v>44</v>
      </c>
      <c r="J257">
        <v>0.5</v>
      </c>
      <c r="K257">
        <v>45</v>
      </c>
      <c r="L257">
        <v>14</v>
      </c>
      <c r="M257">
        <v>280</v>
      </c>
      <c r="N257">
        <v>12</v>
      </c>
      <c r="O257">
        <v>80</v>
      </c>
      <c r="P257">
        <v>27</v>
      </c>
      <c r="Q257">
        <v>1</v>
      </c>
      <c r="R257">
        <v>4</v>
      </c>
      <c r="S257">
        <v>64</v>
      </c>
      <c r="T257">
        <v>12</v>
      </c>
      <c r="U257">
        <v>15</v>
      </c>
      <c r="V257">
        <v>0</v>
      </c>
      <c r="W257">
        <v>40</v>
      </c>
      <c r="X257">
        <v>8</v>
      </c>
    </row>
    <row r="258" spans="1:24" x14ac:dyDescent="0.3">
      <c r="A258" t="s">
        <v>366</v>
      </c>
      <c r="B258" t="s">
        <v>394</v>
      </c>
      <c r="C258" t="s">
        <v>395</v>
      </c>
      <c r="D258">
        <v>690</v>
      </c>
      <c r="E258">
        <v>200</v>
      </c>
      <c r="F258">
        <v>23</v>
      </c>
      <c r="G258">
        <v>35</v>
      </c>
      <c r="H258">
        <v>12</v>
      </c>
      <c r="I258">
        <v>58</v>
      </c>
      <c r="J258">
        <v>1</v>
      </c>
      <c r="K258">
        <v>55</v>
      </c>
      <c r="L258">
        <v>19</v>
      </c>
      <c r="M258">
        <v>380</v>
      </c>
      <c r="N258">
        <v>16</v>
      </c>
      <c r="O258">
        <v>106</v>
      </c>
      <c r="P258">
        <v>35</v>
      </c>
      <c r="Q258">
        <v>1</v>
      </c>
      <c r="R258">
        <v>5</v>
      </c>
      <c r="S258">
        <v>85</v>
      </c>
      <c r="T258">
        <v>15</v>
      </c>
      <c r="U258">
        <v>20</v>
      </c>
      <c r="V258">
        <v>0</v>
      </c>
      <c r="W258">
        <v>50</v>
      </c>
      <c r="X258">
        <v>10</v>
      </c>
    </row>
    <row r="259" spans="1:24" x14ac:dyDescent="0.3">
      <c r="A259" t="s">
        <v>366</v>
      </c>
      <c r="B259" t="s">
        <v>396</v>
      </c>
      <c r="C259" t="s">
        <v>126</v>
      </c>
      <c r="D259">
        <v>340</v>
      </c>
      <c r="E259">
        <v>100</v>
      </c>
      <c r="F259">
        <v>11</v>
      </c>
      <c r="G259">
        <v>17</v>
      </c>
      <c r="H259">
        <v>6</v>
      </c>
      <c r="I259">
        <v>29</v>
      </c>
      <c r="J259">
        <v>0</v>
      </c>
      <c r="K259">
        <v>30</v>
      </c>
      <c r="L259">
        <v>9</v>
      </c>
      <c r="M259">
        <v>190</v>
      </c>
      <c r="N259">
        <v>8</v>
      </c>
      <c r="O259">
        <v>53</v>
      </c>
      <c r="P259">
        <v>18</v>
      </c>
      <c r="Q259">
        <v>1</v>
      </c>
      <c r="R259">
        <v>2</v>
      </c>
      <c r="S259">
        <v>43</v>
      </c>
      <c r="T259">
        <v>8</v>
      </c>
      <c r="U259">
        <v>10</v>
      </c>
      <c r="V259">
        <v>0</v>
      </c>
      <c r="W259">
        <v>25</v>
      </c>
      <c r="X259">
        <v>6</v>
      </c>
    </row>
    <row r="260" spans="1:24" x14ac:dyDescent="0.3">
      <c r="A260" t="s">
        <v>366</v>
      </c>
      <c r="B260" t="s">
        <v>397</v>
      </c>
      <c r="C260" t="s">
        <v>398</v>
      </c>
      <c r="D260">
        <v>810</v>
      </c>
      <c r="E260">
        <v>290</v>
      </c>
      <c r="F260">
        <v>32</v>
      </c>
      <c r="G260">
        <v>50</v>
      </c>
      <c r="H260">
        <v>15</v>
      </c>
      <c r="I260">
        <v>76</v>
      </c>
      <c r="J260">
        <v>1</v>
      </c>
      <c r="K260">
        <v>60</v>
      </c>
      <c r="L260">
        <v>20</v>
      </c>
      <c r="M260">
        <v>400</v>
      </c>
      <c r="N260">
        <v>17</v>
      </c>
      <c r="O260">
        <v>114</v>
      </c>
      <c r="P260">
        <v>38</v>
      </c>
      <c r="Q260">
        <v>2</v>
      </c>
      <c r="R260">
        <v>9</v>
      </c>
      <c r="S260">
        <v>103</v>
      </c>
      <c r="T260">
        <v>21</v>
      </c>
      <c r="U260">
        <v>20</v>
      </c>
      <c r="V260">
        <v>0</v>
      </c>
      <c r="W260">
        <v>60</v>
      </c>
      <c r="X260">
        <v>6</v>
      </c>
    </row>
    <row r="261" spans="1:24" x14ac:dyDescent="0.3">
      <c r="A261" t="s">
        <v>366</v>
      </c>
      <c r="B261" t="s">
        <v>399</v>
      </c>
      <c r="C261" t="s">
        <v>107</v>
      </c>
      <c r="D261">
        <v>410</v>
      </c>
      <c r="E261">
        <v>150</v>
      </c>
      <c r="F261">
        <v>16</v>
      </c>
      <c r="G261">
        <v>25</v>
      </c>
      <c r="H261">
        <v>8</v>
      </c>
      <c r="I261">
        <v>38</v>
      </c>
      <c r="J261">
        <v>0</v>
      </c>
      <c r="K261">
        <v>30</v>
      </c>
      <c r="L261">
        <v>10</v>
      </c>
      <c r="M261">
        <v>200</v>
      </c>
      <c r="N261">
        <v>8</v>
      </c>
      <c r="O261">
        <v>57</v>
      </c>
      <c r="P261">
        <v>19</v>
      </c>
      <c r="Q261">
        <v>1</v>
      </c>
      <c r="R261">
        <v>5</v>
      </c>
      <c r="S261">
        <v>51</v>
      </c>
      <c r="T261">
        <v>10</v>
      </c>
      <c r="U261">
        <v>10</v>
      </c>
      <c r="V261">
        <v>0</v>
      </c>
      <c r="W261">
        <v>30</v>
      </c>
      <c r="X261">
        <v>4</v>
      </c>
    </row>
  </sheetData>
  <autoFilter ref="A1:X261" xr:uid="{00000000-0001-0000-0000-0000000000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A5BAD-F528-4048-BA45-2C27B6D07815}">
  <sheetPr codeName="Sheet3"/>
  <dimension ref="A1:Z261"/>
  <sheetViews>
    <sheetView tabSelected="1" topLeftCell="Q1" workbookViewId="0">
      <selection activeCell="V7" sqref="V7"/>
    </sheetView>
  </sheetViews>
  <sheetFormatPr defaultRowHeight="14.4" x14ac:dyDescent="0.3"/>
  <cols>
    <col min="1" max="1" width="17.5546875" bestFit="1" customWidth="1"/>
    <col min="2" max="2" width="51.5546875" bestFit="1" customWidth="1"/>
    <col min="3" max="3" width="14.88671875" bestFit="1" customWidth="1"/>
    <col min="4" max="4" width="9.88671875" customWidth="1"/>
    <col min="5" max="5" width="17.5546875" customWidth="1"/>
    <col min="6" max="6" width="19.21875" customWidth="1"/>
    <col min="7" max="7" width="10.33203125" customWidth="1"/>
    <col min="8" max="8" width="23.77734375" customWidth="1"/>
    <col min="9" max="9" width="14.33203125" customWidth="1"/>
    <col min="10" max="10" width="27.77734375" customWidth="1"/>
    <col min="11" max="11" width="10.5546875" customWidth="1"/>
    <col min="12" max="12" width="12.88671875" customWidth="1"/>
    <col min="13" max="13" width="26.44140625" customWidth="1"/>
    <col min="14" max="14" width="9.44140625" customWidth="1"/>
    <col min="15" max="15" width="22.88671875" customWidth="1"/>
    <col min="16" max="16" width="15.44140625" customWidth="1"/>
    <col min="17" max="17" width="28.88671875" customWidth="1"/>
    <col min="18" max="18" width="14" customWidth="1"/>
    <col min="19" max="19" width="27.5546875" customWidth="1"/>
    <col min="20" max="20" width="8.44140625" bestFit="1" customWidth="1"/>
    <col min="21" max="21" width="9.33203125" customWidth="1"/>
    <col min="22" max="22" width="24.88671875" customWidth="1"/>
    <col min="23" max="23" width="24.77734375" customWidth="1"/>
    <col min="24" max="24" width="23.21875" customWidth="1"/>
    <col min="25" max="25" width="19.88671875" customWidth="1"/>
    <col min="26" max="26" width="15" customWidth="1"/>
  </cols>
  <sheetData>
    <row r="1" spans="1:26" x14ac:dyDescent="0.3">
      <c r="A1" t="s">
        <v>0</v>
      </c>
      <c r="B1" t="s">
        <v>1</v>
      </c>
      <c r="C1" t="s">
        <v>2</v>
      </c>
      <c r="D1" t="s">
        <v>3</v>
      </c>
      <c r="E1" t="s">
        <v>4</v>
      </c>
      <c r="F1" t="s">
        <v>403</v>
      </c>
      <c r="G1" t="s">
        <v>5</v>
      </c>
      <c r="H1" t="s">
        <v>6</v>
      </c>
      <c r="I1" t="s">
        <v>7</v>
      </c>
      <c r="J1" t="s">
        <v>8</v>
      </c>
      <c r="K1" t="s">
        <v>9</v>
      </c>
      <c r="L1" t="s">
        <v>10</v>
      </c>
      <c r="M1" t="s">
        <v>11</v>
      </c>
      <c r="N1" t="s">
        <v>12</v>
      </c>
      <c r="O1" t="s">
        <v>13</v>
      </c>
      <c r="P1" t="s">
        <v>14</v>
      </c>
      <c r="Q1" t="s">
        <v>15</v>
      </c>
      <c r="R1" t="s">
        <v>16</v>
      </c>
      <c r="S1" t="s">
        <v>17</v>
      </c>
      <c r="T1" t="s">
        <v>18</v>
      </c>
      <c r="U1" t="s">
        <v>19</v>
      </c>
      <c r="V1" t="s">
        <v>20</v>
      </c>
      <c r="W1" t="s">
        <v>21</v>
      </c>
      <c r="X1" t="s">
        <v>22</v>
      </c>
      <c r="Y1" t="s">
        <v>23</v>
      </c>
      <c r="Z1" t="s">
        <v>404</v>
      </c>
    </row>
    <row r="2" spans="1:26" x14ac:dyDescent="0.3">
      <c r="A2" t="s">
        <v>414</v>
      </c>
      <c r="B2" t="s">
        <v>179</v>
      </c>
      <c r="C2" t="s">
        <v>180</v>
      </c>
      <c r="D2">
        <v>1880</v>
      </c>
      <c r="E2">
        <v>1060</v>
      </c>
      <c r="F2" s="2">
        <f>IFERROR(E2/D2,0)</f>
        <v>0.56382978723404253</v>
      </c>
      <c r="G2">
        <v>118</v>
      </c>
      <c r="H2">
        <v>182</v>
      </c>
      <c r="I2">
        <v>20</v>
      </c>
      <c r="J2">
        <v>101</v>
      </c>
      <c r="K2">
        <v>1</v>
      </c>
      <c r="L2">
        <v>265</v>
      </c>
      <c r="M2">
        <v>89</v>
      </c>
      <c r="N2">
        <v>3600</v>
      </c>
      <c r="O2">
        <v>150</v>
      </c>
      <c r="P2">
        <v>118</v>
      </c>
      <c r="Q2">
        <v>39</v>
      </c>
      <c r="R2">
        <v>6</v>
      </c>
      <c r="S2">
        <v>24</v>
      </c>
      <c r="T2">
        <v>1</v>
      </c>
      <c r="U2">
        <v>87</v>
      </c>
      <c r="V2">
        <v>0</v>
      </c>
      <c r="W2">
        <v>15</v>
      </c>
      <c r="X2">
        <v>8</v>
      </c>
      <c r="Y2">
        <v>25</v>
      </c>
      <c r="Z2" t="str" cm="1">
        <f t="array" ref="Z2">_xlfn.IFS(MAX(V2:Y2)=V2,"Vitamin A",MAX(V2:Y2)=W2,"Vitamin C",MAX(V2:Y2)=X2,"Calcium",MAX(V2:Y2)=Y2,"Iron")</f>
        <v>Iron</v>
      </c>
    </row>
    <row r="3" spans="1:26" x14ac:dyDescent="0.3">
      <c r="A3" t="s">
        <v>24</v>
      </c>
      <c r="B3" t="s">
        <v>85</v>
      </c>
      <c r="C3" t="s">
        <v>86</v>
      </c>
      <c r="D3">
        <v>1150</v>
      </c>
      <c r="E3">
        <v>540</v>
      </c>
      <c r="F3" s="2">
        <f t="shared" ref="F3:F66" si="0">IFERROR(E3/D3,0)</f>
        <v>0.46956521739130436</v>
      </c>
      <c r="G3">
        <v>60</v>
      </c>
      <c r="H3">
        <v>93</v>
      </c>
      <c r="I3">
        <v>20</v>
      </c>
      <c r="J3">
        <v>100</v>
      </c>
      <c r="K3">
        <v>0</v>
      </c>
      <c r="L3">
        <v>575</v>
      </c>
      <c r="M3">
        <v>192</v>
      </c>
      <c r="N3">
        <v>2260</v>
      </c>
      <c r="O3">
        <v>94</v>
      </c>
      <c r="P3">
        <v>116</v>
      </c>
      <c r="Q3">
        <v>39</v>
      </c>
      <c r="R3">
        <v>7</v>
      </c>
      <c r="S3">
        <v>28</v>
      </c>
      <c r="T3">
        <v>17</v>
      </c>
      <c r="U3">
        <v>36</v>
      </c>
      <c r="V3">
        <v>15</v>
      </c>
      <c r="W3">
        <v>2</v>
      </c>
      <c r="X3">
        <v>30</v>
      </c>
      <c r="Y3">
        <v>40</v>
      </c>
      <c r="Z3" t="str" cm="1">
        <f t="array" ref="Z3">_xlfn.IFS(MAX(V3:Y3)=V3,"Vitamin A",MAX(V3:Y3)=W3,"Vitamin C",MAX(V3:Y3)=X3,"Calcium",MAX(V3:Y3)=Y3,"Iron")</f>
        <v>Iron</v>
      </c>
    </row>
    <row r="4" spans="1:26" x14ac:dyDescent="0.3">
      <c r="A4" t="s">
        <v>24</v>
      </c>
      <c r="B4" t="s">
        <v>83</v>
      </c>
      <c r="C4" t="s">
        <v>84</v>
      </c>
      <c r="D4">
        <v>1090</v>
      </c>
      <c r="E4">
        <v>510</v>
      </c>
      <c r="F4" s="2">
        <f t="shared" si="0"/>
        <v>0.46788990825688076</v>
      </c>
      <c r="G4">
        <v>56</v>
      </c>
      <c r="H4">
        <v>87</v>
      </c>
      <c r="I4">
        <v>19</v>
      </c>
      <c r="J4">
        <v>96</v>
      </c>
      <c r="K4">
        <v>0</v>
      </c>
      <c r="L4">
        <v>575</v>
      </c>
      <c r="M4">
        <v>192</v>
      </c>
      <c r="N4">
        <v>2150</v>
      </c>
      <c r="O4">
        <v>90</v>
      </c>
      <c r="P4">
        <v>111</v>
      </c>
      <c r="Q4">
        <v>37</v>
      </c>
      <c r="R4">
        <v>6</v>
      </c>
      <c r="S4">
        <v>23</v>
      </c>
      <c r="T4">
        <v>17</v>
      </c>
      <c r="U4">
        <v>36</v>
      </c>
      <c r="V4">
        <v>15</v>
      </c>
      <c r="W4">
        <v>2</v>
      </c>
      <c r="X4">
        <v>25</v>
      </c>
      <c r="Y4">
        <v>40</v>
      </c>
      <c r="Z4" t="str" cm="1">
        <f t="array" ref="Z4">_xlfn.IFS(MAX(V4:Y4)=V4,"Vitamin A",MAX(V4:Y4)=W4,"Vitamin C",MAX(V4:Y4)=X4,"Calcium",MAX(V4:Y4)=Y4,"Iron")</f>
        <v>Iron</v>
      </c>
    </row>
    <row r="5" spans="1:26" x14ac:dyDescent="0.3">
      <c r="A5" t="s">
        <v>24</v>
      </c>
      <c r="B5" t="s">
        <v>89</v>
      </c>
      <c r="C5" t="s">
        <v>90</v>
      </c>
      <c r="D5">
        <v>1050</v>
      </c>
      <c r="E5">
        <v>450</v>
      </c>
      <c r="F5" s="2">
        <f t="shared" si="0"/>
        <v>0.42857142857142855</v>
      </c>
      <c r="G5">
        <v>50</v>
      </c>
      <c r="H5">
        <v>77</v>
      </c>
      <c r="I5">
        <v>16</v>
      </c>
      <c r="J5">
        <v>81</v>
      </c>
      <c r="K5">
        <v>0</v>
      </c>
      <c r="L5">
        <v>55</v>
      </c>
      <c r="M5">
        <v>19</v>
      </c>
      <c r="N5">
        <v>2290</v>
      </c>
      <c r="O5">
        <v>95</v>
      </c>
      <c r="P5">
        <v>115</v>
      </c>
      <c r="Q5">
        <v>38</v>
      </c>
      <c r="R5">
        <v>7</v>
      </c>
      <c r="S5">
        <v>28</v>
      </c>
      <c r="T5">
        <v>18</v>
      </c>
      <c r="U5">
        <v>35</v>
      </c>
      <c r="V5">
        <v>4</v>
      </c>
      <c r="W5">
        <v>2</v>
      </c>
      <c r="X5">
        <v>25</v>
      </c>
      <c r="Y5">
        <v>30</v>
      </c>
      <c r="Z5" t="str" cm="1">
        <f t="array" ref="Z5">_xlfn.IFS(MAX(V5:Y5)=V5,"Vitamin A",MAX(V5:Y5)=W5,"Vitamin C",MAX(V5:Y5)=X5,"Calcium",MAX(V5:Y5)=Y5,"Iron")</f>
        <v>Iron</v>
      </c>
    </row>
    <row r="6" spans="1:26" x14ac:dyDescent="0.3">
      <c r="A6" t="s">
        <v>24</v>
      </c>
      <c r="B6" t="s">
        <v>87</v>
      </c>
      <c r="C6" t="s">
        <v>88</v>
      </c>
      <c r="D6">
        <v>990</v>
      </c>
      <c r="E6">
        <v>410</v>
      </c>
      <c r="F6" s="2">
        <f t="shared" si="0"/>
        <v>0.41414141414141414</v>
      </c>
      <c r="G6">
        <v>46</v>
      </c>
      <c r="H6">
        <v>70</v>
      </c>
      <c r="I6">
        <v>16</v>
      </c>
      <c r="J6">
        <v>78</v>
      </c>
      <c r="K6">
        <v>0</v>
      </c>
      <c r="L6">
        <v>55</v>
      </c>
      <c r="M6">
        <v>19</v>
      </c>
      <c r="N6">
        <v>2170</v>
      </c>
      <c r="O6">
        <v>91</v>
      </c>
      <c r="P6">
        <v>110</v>
      </c>
      <c r="Q6">
        <v>37</v>
      </c>
      <c r="R6">
        <v>6</v>
      </c>
      <c r="S6">
        <v>23</v>
      </c>
      <c r="T6">
        <v>17</v>
      </c>
      <c r="U6">
        <v>35</v>
      </c>
      <c r="V6">
        <v>0</v>
      </c>
      <c r="W6">
        <v>2</v>
      </c>
      <c r="X6">
        <v>25</v>
      </c>
      <c r="Y6">
        <v>30</v>
      </c>
      <c r="Z6" t="str" cm="1">
        <f t="array" ref="Z6">_xlfn.IFS(MAX(V6:Y6)=V6,"Vitamin A",MAX(V6:Y6)=W6,"Vitamin C",MAX(V6:Y6)=X6,"Calcium",MAX(V6:Y6)=Y6,"Iron")</f>
        <v>Iron</v>
      </c>
    </row>
    <row r="7" spans="1:26" x14ac:dyDescent="0.3">
      <c r="A7" t="s">
        <v>414</v>
      </c>
      <c r="B7" t="s">
        <v>177</v>
      </c>
      <c r="C7" t="s">
        <v>178</v>
      </c>
      <c r="D7">
        <v>940</v>
      </c>
      <c r="E7">
        <v>530</v>
      </c>
      <c r="F7" s="2">
        <f t="shared" si="0"/>
        <v>0.56382978723404253</v>
      </c>
      <c r="G7">
        <v>59</v>
      </c>
      <c r="H7">
        <v>91</v>
      </c>
      <c r="I7">
        <v>10</v>
      </c>
      <c r="J7">
        <v>50</v>
      </c>
      <c r="K7">
        <v>0</v>
      </c>
      <c r="L7">
        <v>135</v>
      </c>
      <c r="M7">
        <v>44</v>
      </c>
      <c r="N7">
        <v>1800</v>
      </c>
      <c r="O7">
        <v>75</v>
      </c>
      <c r="P7">
        <v>59</v>
      </c>
      <c r="Q7">
        <v>20</v>
      </c>
      <c r="R7">
        <v>3</v>
      </c>
      <c r="S7">
        <v>12</v>
      </c>
      <c r="T7">
        <v>0</v>
      </c>
      <c r="U7">
        <v>44</v>
      </c>
      <c r="V7">
        <v>0</v>
      </c>
      <c r="W7">
        <v>8</v>
      </c>
      <c r="X7">
        <v>4</v>
      </c>
      <c r="Y7">
        <v>10</v>
      </c>
      <c r="Z7" t="str" cm="1">
        <f t="array" ref="Z7">_xlfn.IFS(MAX(V7:Y7)=V7,"Vitamin A",MAX(V7:Y7)=W7,"Vitamin C",MAX(V7:Y7)=X7,"Calcium",MAX(V7:Y7)=Y7,"Iron")</f>
        <v>Iron</v>
      </c>
    </row>
    <row r="8" spans="1:26" x14ac:dyDescent="0.3">
      <c r="A8" t="s">
        <v>415</v>
      </c>
      <c r="B8" t="s">
        <v>388</v>
      </c>
      <c r="C8" t="s">
        <v>389</v>
      </c>
      <c r="D8">
        <v>930</v>
      </c>
      <c r="E8">
        <v>290</v>
      </c>
      <c r="F8" s="2">
        <f t="shared" si="0"/>
        <v>0.31182795698924731</v>
      </c>
      <c r="G8">
        <v>33</v>
      </c>
      <c r="H8">
        <v>50</v>
      </c>
      <c r="I8">
        <v>20</v>
      </c>
      <c r="J8">
        <v>102</v>
      </c>
      <c r="K8">
        <v>1</v>
      </c>
      <c r="L8">
        <v>75</v>
      </c>
      <c r="M8">
        <v>25</v>
      </c>
      <c r="N8">
        <v>260</v>
      </c>
      <c r="O8">
        <v>11</v>
      </c>
      <c r="P8">
        <v>139</v>
      </c>
      <c r="Q8">
        <v>46</v>
      </c>
      <c r="R8">
        <v>2</v>
      </c>
      <c r="S8">
        <v>7</v>
      </c>
      <c r="T8">
        <v>128</v>
      </c>
      <c r="U8">
        <v>20</v>
      </c>
      <c r="V8">
        <v>25</v>
      </c>
      <c r="W8">
        <v>0</v>
      </c>
      <c r="X8">
        <v>70</v>
      </c>
      <c r="Y8">
        <v>10</v>
      </c>
      <c r="Z8" t="str" cm="1">
        <f t="array" ref="Z8">_xlfn.IFS(MAX(V8:Y8)=V8,"Vitamin A",MAX(V8:Y8)=W8,"Vitamin C",MAX(V8:Y8)=X8,"Calcium",MAX(V8:Y8)=Y8,"Iron")</f>
        <v>Calcium</v>
      </c>
    </row>
    <row r="9" spans="1:26" x14ac:dyDescent="0.3">
      <c r="A9" t="s">
        <v>415</v>
      </c>
      <c r="B9" t="s">
        <v>381</v>
      </c>
      <c r="C9" t="s">
        <v>265</v>
      </c>
      <c r="D9">
        <v>850</v>
      </c>
      <c r="E9">
        <v>210</v>
      </c>
      <c r="F9" s="2">
        <f t="shared" si="0"/>
        <v>0.24705882352941178</v>
      </c>
      <c r="G9">
        <v>24</v>
      </c>
      <c r="H9">
        <v>36</v>
      </c>
      <c r="I9">
        <v>15</v>
      </c>
      <c r="J9">
        <v>75</v>
      </c>
      <c r="K9">
        <v>1</v>
      </c>
      <c r="L9">
        <v>90</v>
      </c>
      <c r="M9">
        <v>30</v>
      </c>
      <c r="N9">
        <v>260</v>
      </c>
      <c r="O9">
        <v>11</v>
      </c>
      <c r="P9">
        <v>140</v>
      </c>
      <c r="Q9">
        <v>47</v>
      </c>
      <c r="R9">
        <v>0</v>
      </c>
      <c r="S9">
        <v>0</v>
      </c>
      <c r="T9">
        <v>123</v>
      </c>
      <c r="U9">
        <v>18</v>
      </c>
      <c r="V9">
        <v>30</v>
      </c>
      <c r="W9">
        <v>0</v>
      </c>
      <c r="X9">
        <v>70</v>
      </c>
      <c r="Y9">
        <v>0</v>
      </c>
      <c r="Z9" t="str" cm="1">
        <f t="array" ref="Z9">_xlfn.IFS(MAX(V9:Y9)=V9,"Vitamin A",MAX(V9:Y9)=W9,"Vitamin C",MAX(V9:Y9)=X9,"Calcium",MAX(V9:Y9)=Y9,"Iron")</f>
        <v>Calcium</v>
      </c>
    </row>
    <row r="10" spans="1:26" x14ac:dyDescent="0.3">
      <c r="A10" t="s">
        <v>415</v>
      </c>
      <c r="B10" t="s">
        <v>384</v>
      </c>
      <c r="C10" t="s">
        <v>265</v>
      </c>
      <c r="D10">
        <v>850</v>
      </c>
      <c r="E10">
        <v>210</v>
      </c>
      <c r="F10" s="2">
        <f t="shared" si="0"/>
        <v>0.24705882352941178</v>
      </c>
      <c r="G10">
        <v>23</v>
      </c>
      <c r="H10">
        <v>36</v>
      </c>
      <c r="I10">
        <v>15</v>
      </c>
      <c r="J10">
        <v>74</v>
      </c>
      <c r="K10">
        <v>1</v>
      </c>
      <c r="L10">
        <v>85</v>
      </c>
      <c r="M10">
        <v>29</v>
      </c>
      <c r="N10">
        <v>380</v>
      </c>
      <c r="O10">
        <v>16</v>
      </c>
      <c r="P10">
        <v>141</v>
      </c>
      <c r="Q10">
        <v>47</v>
      </c>
      <c r="R10">
        <v>2</v>
      </c>
      <c r="S10">
        <v>8</v>
      </c>
      <c r="T10">
        <v>120</v>
      </c>
      <c r="U10">
        <v>19</v>
      </c>
      <c r="V10">
        <v>30</v>
      </c>
      <c r="W10">
        <v>0</v>
      </c>
      <c r="X10">
        <v>60</v>
      </c>
      <c r="Y10">
        <v>15</v>
      </c>
      <c r="Z10" t="str" cm="1">
        <f t="array" ref="Z10">_xlfn.IFS(MAX(V10:Y10)=V10,"Vitamin A",MAX(V10:Y10)=W10,"Vitamin C",MAX(V10:Y10)=X10,"Calcium",MAX(V10:Y10)=Y10,"Iron")</f>
        <v>Calcium</v>
      </c>
    </row>
    <row r="11" spans="1:26" x14ac:dyDescent="0.3">
      <c r="A11" t="s">
        <v>415</v>
      </c>
      <c r="B11" t="s">
        <v>378</v>
      </c>
      <c r="C11" t="s">
        <v>265</v>
      </c>
      <c r="D11">
        <v>820</v>
      </c>
      <c r="E11">
        <v>210</v>
      </c>
      <c r="F11" s="2">
        <f t="shared" si="0"/>
        <v>0.25609756097560976</v>
      </c>
      <c r="G11">
        <v>23</v>
      </c>
      <c r="H11">
        <v>35</v>
      </c>
      <c r="I11">
        <v>15</v>
      </c>
      <c r="J11">
        <v>73</v>
      </c>
      <c r="K11">
        <v>1</v>
      </c>
      <c r="L11">
        <v>90</v>
      </c>
      <c r="M11">
        <v>29</v>
      </c>
      <c r="N11">
        <v>260</v>
      </c>
      <c r="O11">
        <v>11</v>
      </c>
      <c r="P11">
        <v>135</v>
      </c>
      <c r="Q11">
        <v>45</v>
      </c>
      <c r="R11">
        <v>0</v>
      </c>
      <c r="S11">
        <v>0</v>
      </c>
      <c r="T11">
        <v>101</v>
      </c>
      <c r="U11">
        <v>18</v>
      </c>
      <c r="V11">
        <v>30</v>
      </c>
      <c r="W11">
        <v>0</v>
      </c>
      <c r="X11">
        <v>60</v>
      </c>
      <c r="Y11">
        <v>0</v>
      </c>
      <c r="Z11" t="str" cm="1">
        <f t="array" ref="Z11">_xlfn.IFS(MAX(V11:Y11)=V11,"Vitamin A",MAX(V11:Y11)=W11,"Vitamin C",MAX(V11:Y11)=X11,"Calcium",MAX(V11:Y11)=Y11,"Iron")</f>
        <v>Calcium</v>
      </c>
    </row>
    <row r="12" spans="1:26" x14ac:dyDescent="0.3">
      <c r="A12" t="s">
        <v>415</v>
      </c>
      <c r="B12" t="s">
        <v>386</v>
      </c>
      <c r="C12" t="s">
        <v>265</v>
      </c>
      <c r="D12">
        <v>820</v>
      </c>
      <c r="E12">
        <v>210</v>
      </c>
      <c r="F12" s="2">
        <f t="shared" si="0"/>
        <v>0.25609756097560976</v>
      </c>
      <c r="G12">
        <v>23</v>
      </c>
      <c r="H12">
        <v>35</v>
      </c>
      <c r="I12">
        <v>15</v>
      </c>
      <c r="J12">
        <v>73</v>
      </c>
      <c r="K12">
        <v>1</v>
      </c>
      <c r="L12">
        <v>90</v>
      </c>
      <c r="M12">
        <v>29</v>
      </c>
      <c r="N12">
        <v>260</v>
      </c>
      <c r="O12">
        <v>11</v>
      </c>
      <c r="P12">
        <v>135</v>
      </c>
      <c r="Q12">
        <v>45</v>
      </c>
      <c r="R12">
        <v>0</v>
      </c>
      <c r="S12">
        <v>0</v>
      </c>
      <c r="T12">
        <v>115</v>
      </c>
      <c r="U12">
        <v>18</v>
      </c>
      <c r="V12">
        <v>30</v>
      </c>
      <c r="W12">
        <v>0</v>
      </c>
      <c r="X12">
        <v>60</v>
      </c>
      <c r="Y12">
        <v>0</v>
      </c>
      <c r="Z12" t="str" cm="1">
        <f t="array" ref="Z12">_xlfn.IFS(MAX(V12:Y12)=V12,"Vitamin A",MAX(V12:Y12)=W12,"Vitamin C",MAX(V12:Y12)=X12,"Calcium",MAX(V12:Y12)=Y12,"Iron")</f>
        <v>Calcium</v>
      </c>
    </row>
    <row r="13" spans="1:26" x14ac:dyDescent="0.3">
      <c r="A13" t="s">
        <v>415</v>
      </c>
      <c r="B13" t="s">
        <v>397</v>
      </c>
      <c r="C13" t="s">
        <v>398</v>
      </c>
      <c r="D13">
        <v>810</v>
      </c>
      <c r="E13">
        <v>290</v>
      </c>
      <c r="F13" s="2">
        <f t="shared" si="0"/>
        <v>0.35802469135802467</v>
      </c>
      <c r="G13">
        <v>32</v>
      </c>
      <c r="H13">
        <v>50</v>
      </c>
      <c r="I13">
        <v>15</v>
      </c>
      <c r="J13">
        <v>76</v>
      </c>
      <c r="K13">
        <v>1</v>
      </c>
      <c r="L13">
        <v>60</v>
      </c>
      <c r="M13">
        <v>20</v>
      </c>
      <c r="N13">
        <v>400</v>
      </c>
      <c r="O13">
        <v>17</v>
      </c>
      <c r="P13">
        <v>114</v>
      </c>
      <c r="Q13">
        <v>38</v>
      </c>
      <c r="R13">
        <v>2</v>
      </c>
      <c r="S13">
        <v>9</v>
      </c>
      <c r="T13">
        <v>103</v>
      </c>
      <c r="U13">
        <v>21</v>
      </c>
      <c r="V13">
        <v>20</v>
      </c>
      <c r="W13">
        <v>0</v>
      </c>
      <c r="X13">
        <v>60</v>
      </c>
      <c r="Y13">
        <v>6</v>
      </c>
      <c r="Z13" t="str" cm="1">
        <f t="array" ref="Z13">_xlfn.IFS(MAX(V13:Y13)=V13,"Vitamin A",MAX(V13:Y13)=W13,"Vitamin C",MAX(V13:Y13)=X13,"Calcium",MAX(V13:Y13)=Y13,"Iron")</f>
        <v>Calcium</v>
      </c>
    </row>
    <row r="14" spans="1:26" x14ac:dyDescent="0.3">
      <c r="A14" t="s">
        <v>24</v>
      </c>
      <c r="B14" t="s">
        <v>77</v>
      </c>
      <c r="C14" t="s">
        <v>78</v>
      </c>
      <c r="D14">
        <v>800</v>
      </c>
      <c r="E14">
        <v>470</v>
      </c>
      <c r="F14" s="2">
        <f t="shared" si="0"/>
        <v>0.58750000000000002</v>
      </c>
      <c r="G14">
        <v>52</v>
      </c>
      <c r="H14">
        <v>80</v>
      </c>
      <c r="I14">
        <v>18</v>
      </c>
      <c r="J14">
        <v>90</v>
      </c>
      <c r="K14">
        <v>0</v>
      </c>
      <c r="L14">
        <v>555</v>
      </c>
      <c r="M14">
        <v>185</v>
      </c>
      <c r="N14">
        <v>1680</v>
      </c>
      <c r="O14">
        <v>70</v>
      </c>
      <c r="P14">
        <v>56</v>
      </c>
      <c r="Q14">
        <v>19</v>
      </c>
      <c r="R14">
        <v>4</v>
      </c>
      <c r="S14">
        <v>17</v>
      </c>
      <c r="T14">
        <v>3</v>
      </c>
      <c r="U14">
        <v>28</v>
      </c>
      <c r="V14">
        <v>15</v>
      </c>
      <c r="W14">
        <v>2</v>
      </c>
      <c r="X14">
        <v>15</v>
      </c>
      <c r="Y14">
        <v>30</v>
      </c>
      <c r="Z14" t="str" cm="1">
        <f t="array" ref="Z14">_xlfn.IFS(MAX(V14:Y14)=V14,"Vitamin A",MAX(V14:Y14)=W14,"Vitamin C",MAX(V14:Y14)=X14,"Calcium",MAX(V14:Y14)=Y14,"Iron")</f>
        <v>Iron</v>
      </c>
    </row>
    <row r="15" spans="1:26" x14ac:dyDescent="0.3">
      <c r="A15" t="s">
        <v>416</v>
      </c>
      <c r="B15" t="s">
        <v>365</v>
      </c>
      <c r="C15" t="s">
        <v>265</v>
      </c>
      <c r="D15">
        <v>760</v>
      </c>
      <c r="E15">
        <v>280</v>
      </c>
      <c r="F15" s="2">
        <f t="shared" si="0"/>
        <v>0.36842105263157893</v>
      </c>
      <c r="G15">
        <v>31</v>
      </c>
      <c r="H15">
        <v>48</v>
      </c>
      <c r="I15">
        <v>20</v>
      </c>
      <c r="J15">
        <v>101</v>
      </c>
      <c r="K15">
        <v>1.5</v>
      </c>
      <c r="L15">
        <v>95</v>
      </c>
      <c r="M15">
        <v>32</v>
      </c>
      <c r="N15">
        <v>200</v>
      </c>
      <c r="O15">
        <v>8</v>
      </c>
      <c r="P15">
        <v>111</v>
      </c>
      <c r="Q15">
        <v>37</v>
      </c>
      <c r="R15">
        <v>1</v>
      </c>
      <c r="S15">
        <v>5</v>
      </c>
      <c r="T15">
        <v>99</v>
      </c>
      <c r="U15">
        <v>12</v>
      </c>
      <c r="V15">
        <v>20</v>
      </c>
      <c r="W15">
        <v>0</v>
      </c>
      <c r="X15">
        <v>35</v>
      </c>
      <c r="Y15">
        <v>6</v>
      </c>
      <c r="Z15" t="str" cm="1">
        <f t="array" ref="Z15">_xlfn.IFS(MAX(V15:Y15)=V15,"Vitamin A",MAX(V15:Y15)=W15,"Vitamin C",MAX(V15:Y15)=X15,"Calcium",MAX(V15:Y15)=Y15,"Iron")</f>
        <v>Calcium</v>
      </c>
    </row>
    <row r="16" spans="1:26" x14ac:dyDescent="0.3">
      <c r="A16" t="s">
        <v>413</v>
      </c>
      <c r="B16" t="s">
        <v>114</v>
      </c>
      <c r="C16" t="s">
        <v>78</v>
      </c>
      <c r="D16">
        <v>750</v>
      </c>
      <c r="E16">
        <v>380</v>
      </c>
      <c r="F16" s="2">
        <f t="shared" si="0"/>
        <v>0.50666666666666671</v>
      </c>
      <c r="G16">
        <v>43</v>
      </c>
      <c r="H16">
        <v>66</v>
      </c>
      <c r="I16">
        <v>19</v>
      </c>
      <c r="J16">
        <v>96</v>
      </c>
      <c r="K16">
        <v>2.5</v>
      </c>
      <c r="L16">
        <v>160</v>
      </c>
      <c r="M16">
        <v>53</v>
      </c>
      <c r="N16">
        <v>1280</v>
      </c>
      <c r="O16">
        <v>53</v>
      </c>
      <c r="P16">
        <v>42</v>
      </c>
      <c r="Q16">
        <v>14</v>
      </c>
      <c r="R16">
        <v>3</v>
      </c>
      <c r="S16">
        <v>11</v>
      </c>
      <c r="T16">
        <v>10</v>
      </c>
      <c r="U16">
        <v>48</v>
      </c>
      <c r="V16">
        <v>10</v>
      </c>
      <c r="W16">
        <v>2</v>
      </c>
      <c r="X16">
        <v>30</v>
      </c>
      <c r="Y16">
        <v>35</v>
      </c>
      <c r="Z16" t="str" cm="1">
        <f t="array" ref="Z16">_xlfn.IFS(MAX(V16:Y16)=V16,"Vitamin A",MAX(V16:Y16)=W16,"Vitamin C",MAX(V16:Y16)=X16,"Calcium",MAX(V16:Y16)=Y16,"Iron")</f>
        <v>Iron</v>
      </c>
    </row>
    <row r="17" spans="1:26" x14ac:dyDescent="0.3">
      <c r="A17" t="s">
        <v>414</v>
      </c>
      <c r="B17" t="s">
        <v>143</v>
      </c>
      <c r="C17" t="s">
        <v>144</v>
      </c>
      <c r="D17">
        <v>750</v>
      </c>
      <c r="E17">
        <v>340</v>
      </c>
      <c r="F17" s="2">
        <f t="shared" si="0"/>
        <v>0.45333333333333331</v>
      </c>
      <c r="G17">
        <v>38</v>
      </c>
      <c r="H17">
        <v>59</v>
      </c>
      <c r="I17">
        <v>10</v>
      </c>
      <c r="J17">
        <v>51</v>
      </c>
      <c r="K17">
        <v>0.5</v>
      </c>
      <c r="L17">
        <v>90</v>
      </c>
      <c r="M17">
        <v>31</v>
      </c>
      <c r="N17">
        <v>1720</v>
      </c>
      <c r="O17">
        <v>72</v>
      </c>
      <c r="P17">
        <v>65</v>
      </c>
      <c r="Q17">
        <v>22</v>
      </c>
      <c r="R17">
        <v>4</v>
      </c>
      <c r="S17">
        <v>15</v>
      </c>
      <c r="T17">
        <v>16</v>
      </c>
      <c r="U17">
        <v>36</v>
      </c>
      <c r="V17">
        <v>8</v>
      </c>
      <c r="W17">
        <v>25</v>
      </c>
      <c r="X17">
        <v>30</v>
      </c>
      <c r="Y17">
        <v>15</v>
      </c>
      <c r="Z17" t="str" cm="1">
        <f t="array" ref="Z17">_xlfn.IFS(MAX(V17:Y17)=V17,"Vitamin A",MAX(V17:Y17)=W17,"Vitamin C",MAX(V17:Y17)=X17,"Calcium",MAX(V17:Y17)=Y17,"Iron")</f>
        <v>Calcium</v>
      </c>
    </row>
    <row r="18" spans="1:26" x14ac:dyDescent="0.3">
      <c r="A18" t="s">
        <v>24</v>
      </c>
      <c r="B18" t="s">
        <v>75</v>
      </c>
      <c r="C18" t="s">
        <v>76</v>
      </c>
      <c r="D18">
        <v>740</v>
      </c>
      <c r="E18">
        <v>430</v>
      </c>
      <c r="F18" s="2">
        <f t="shared" si="0"/>
        <v>0.58108108108108103</v>
      </c>
      <c r="G18">
        <v>48</v>
      </c>
      <c r="H18">
        <v>73</v>
      </c>
      <c r="I18">
        <v>17</v>
      </c>
      <c r="J18">
        <v>87</v>
      </c>
      <c r="K18">
        <v>0</v>
      </c>
      <c r="L18">
        <v>555</v>
      </c>
      <c r="M18">
        <v>185</v>
      </c>
      <c r="N18">
        <v>1560</v>
      </c>
      <c r="O18">
        <v>65</v>
      </c>
      <c r="P18">
        <v>51</v>
      </c>
      <c r="Q18">
        <v>17</v>
      </c>
      <c r="R18">
        <v>3</v>
      </c>
      <c r="S18">
        <v>12</v>
      </c>
      <c r="T18">
        <v>3</v>
      </c>
      <c r="U18">
        <v>28</v>
      </c>
      <c r="V18">
        <v>15</v>
      </c>
      <c r="W18">
        <v>2</v>
      </c>
      <c r="X18">
        <v>15</v>
      </c>
      <c r="Y18">
        <v>25</v>
      </c>
      <c r="Z18" t="str" cm="1">
        <f t="array" ref="Z18">_xlfn.IFS(MAX(V18:Y18)=V18,"Vitamin A",MAX(V18:Y18)=W18,"Vitamin C",MAX(V18:Y18)=X18,"Calcium",MAX(V18:Y18)=Y18,"Iron")</f>
        <v>Iron</v>
      </c>
    </row>
    <row r="19" spans="1:26" x14ac:dyDescent="0.3">
      <c r="A19" t="s">
        <v>413</v>
      </c>
      <c r="B19" t="s">
        <v>120</v>
      </c>
      <c r="C19" t="s">
        <v>121</v>
      </c>
      <c r="D19">
        <v>720</v>
      </c>
      <c r="E19">
        <v>360</v>
      </c>
      <c r="F19" s="2">
        <f t="shared" si="0"/>
        <v>0.5</v>
      </c>
      <c r="G19">
        <v>40</v>
      </c>
      <c r="H19">
        <v>62</v>
      </c>
      <c r="I19">
        <v>15</v>
      </c>
      <c r="J19">
        <v>75</v>
      </c>
      <c r="K19">
        <v>1.5</v>
      </c>
      <c r="L19">
        <v>115</v>
      </c>
      <c r="M19">
        <v>38</v>
      </c>
      <c r="N19">
        <v>1470</v>
      </c>
      <c r="O19">
        <v>61</v>
      </c>
      <c r="P19">
        <v>51</v>
      </c>
      <c r="Q19">
        <v>17</v>
      </c>
      <c r="R19">
        <v>4</v>
      </c>
      <c r="S19">
        <v>14</v>
      </c>
      <c r="T19">
        <v>14</v>
      </c>
      <c r="U19">
        <v>39</v>
      </c>
      <c r="V19">
        <v>8</v>
      </c>
      <c r="W19">
        <v>25</v>
      </c>
      <c r="X19">
        <v>30</v>
      </c>
      <c r="Y19">
        <v>25</v>
      </c>
      <c r="Z19" t="str" cm="1">
        <f t="array" ref="Z19">_xlfn.IFS(MAX(V19:Y19)=V19,"Vitamin A",MAX(V19:Y19)=W19,"Vitamin C",MAX(V19:Y19)=X19,"Calcium",MAX(V19:Y19)=Y19,"Iron")</f>
        <v>Calcium</v>
      </c>
    </row>
    <row r="20" spans="1:26" x14ac:dyDescent="0.3">
      <c r="A20" t="s">
        <v>415</v>
      </c>
      <c r="B20" t="s">
        <v>383</v>
      </c>
      <c r="C20" t="s">
        <v>234</v>
      </c>
      <c r="D20">
        <v>700</v>
      </c>
      <c r="E20">
        <v>180</v>
      </c>
      <c r="F20" s="2">
        <f t="shared" si="0"/>
        <v>0.25714285714285712</v>
      </c>
      <c r="G20">
        <v>20</v>
      </c>
      <c r="H20">
        <v>30</v>
      </c>
      <c r="I20">
        <v>12</v>
      </c>
      <c r="J20">
        <v>62</v>
      </c>
      <c r="K20">
        <v>1</v>
      </c>
      <c r="L20">
        <v>75</v>
      </c>
      <c r="M20">
        <v>24</v>
      </c>
      <c r="N20">
        <v>300</v>
      </c>
      <c r="O20">
        <v>13</v>
      </c>
      <c r="P20">
        <v>114</v>
      </c>
      <c r="Q20">
        <v>38</v>
      </c>
      <c r="R20">
        <v>2</v>
      </c>
      <c r="S20">
        <v>6</v>
      </c>
      <c r="T20">
        <v>97</v>
      </c>
      <c r="U20">
        <v>15</v>
      </c>
      <c r="V20">
        <v>25</v>
      </c>
      <c r="W20">
        <v>0</v>
      </c>
      <c r="X20">
        <v>50</v>
      </c>
      <c r="Y20">
        <v>10</v>
      </c>
      <c r="Z20" t="str" cm="1">
        <f t="array" ref="Z20">_xlfn.IFS(MAX(V20:Y20)=V20,"Vitamin A",MAX(V20:Y20)=W20,"Vitamin C",MAX(V20:Y20)=X20,"Calcium",MAX(V20:Y20)=Y20,"Iron")</f>
        <v>Calcium</v>
      </c>
    </row>
    <row r="21" spans="1:26" x14ac:dyDescent="0.3">
      <c r="A21" t="s">
        <v>24</v>
      </c>
      <c r="B21" t="s">
        <v>81</v>
      </c>
      <c r="C21" t="s">
        <v>82</v>
      </c>
      <c r="D21">
        <v>690</v>
      </c>
      <c r="E21">
        <v>370</v>
      </c>
      <c r="F21" s="2">
        <f t="shared" si="0"/>
        <v>0.53623188405797106</v>
      </c>
      <c r="G21">
        <v>41</v>
      </c>
      <c r="H21">
        <v>63</v>
      </c>
      <c r="I21">
        <v>14</v>
      </c>
      <c r="J21">
        <v>72</v>
      </c>
      <c r="K21">
        <v>0</v>
      </c>
      <c r="L21">
        <v>35</v>
      </c>
      <c r="M21">
        <v>12</v>
      </c>
      <c r="N21">
        <v>1700</v>
      </c>
      <c r="O21">
        <v>71</v>
      </c>
      <c r="P21">
        <v>55</v>
      </c>
      <c r="Q21">
        <v>18</v>
      </c>
      <c r="R21">
        <v>4</v>
      </c>
      <c r="S21">
        <v>17</v>
      </c>
      <c r="T21">
        <v>4</v>
      </c>
      <c r="U21">
        <v>26</v>
      </c>
      <c r="V21">
        <v>4</v>
      </c>
      <c r="W21">
        <v>2</v>
      </c>
      <c r="X21">
        <v>10</v>
      </c>
      <c r="Y21">
        <v>15</v>
      </c>
      <c r="Z21" t="str" cm="1">
        <f t="array" ref="Z21">_xlfn.IFS(MAX(V21:Y21)=V21,"Vitamin A",MAX(V21:Y21)=W21,"Vitamin C",MAX(V21:Y21)=X21,"Calcium",MAX(V21:Y21)=Y21,"Iron")</f>
        <v>Iron</v>
      </c>
    </row>
    <row r="22" spans="1:26" x14ac:dyDescent="0.3">
      <c r="A22" t="s">
        <v>415</v>
      </c>
      <c r="B22" t="s">
        <v>380</v>
      </c>
      <c r="C22" t="s">
        <v>234</v>
      </c>
      <c r="D22">
        <v>690</v>
      </c>
      <c r="E22">
        <v>180</v>
      </c>
      <c r="F22" s="2">
        <f t="shared" si="0"/>
        <v>0.2608695652173913</v>
      </c>
      <c r="G22">
        <v>20</v>
      </c>
      <c r="H22">
        <v>30</v>
      </c>
      <c r="I22">
        <v>13</v>
      </c>
      <c r="J22">
        <v>63</v>
      </c>
      <c r="K22">
        <v>1</v>
      </c>
      <c r="L22">
        <v>75</v>
      </c>
      <c r="M22">
        <v>25</v>
      </c>
      <c r="N22">
        <v>210</v>
      </c>
      <c r="O22">
        <v>9</v>
      </c>
      <c r="P22">
        <v>114</v>
      </c>
      <c r="Q22">
        <v>38</v>
      </c>
      <c r="R22">
        <v>0</v>
      </c>
      <c r="S22">
        <v>0</v>
      </c>
      <c r="T22">
        <v>100</v>
      </c>
      <c r="U22">
        <v>15</v>
      </c>
      <c r="V22">
        <v>25</v>
      </c>
      <c r="W22">
        <v>0</v>
      </c>
      <c r="X22">
        <v>50</v>
      </c>
      <c r="Y22">
        <v>0</v>
      </c>
      <c r="Z22" t="str" cm="1">
        <f t="array" ref="Z22">_xlfn.IFS(MAX(V22:Y22)=V22,"Vitamin A",MAX(V22:Y22)=W22,"Vitamin C",MAX(V22:Y22)=X22,"Calcium",MAX(V22:Y22)=Y22,"Iron")</f>
        <v>Calcium</v>
      </c>
    </row>
    <row r="23" spans="1:26" x14ac:dyDescent="0.3">
      <c r="A23" t="s">
        <v>415</v>
      </c>
      <c r="B23" t="s">
        <v>394</v>
      </c>
      <c r="C23" t="s">
        <v>395</v>
      </c>
      <c r="D23">
        <v>690</v>
      </c>
      <c r="E23">
        <v>200</v>
      </c>
      <c r="F23" s="2">
        <f t="shared" si="0"/>
        <v>0.28985507246376813</v>
      </c>
      <c r="G23">
        <v>23</v>
      </c>
      <c r="H23">
        <v>35</v>
      </c>
      <c r="I23">
        <v>12</v>
      </c>
      <c r="J23">
        <v>58</v>
      </c>
      <c r="K23">
        <v>1</v>
      </c>
      <c r="L23">
        <v>55</v>
      </c>
      <c r="M23">
        <v>19</v>
      </c>
      <c r="N23">
        <v>380</v>
      </c>
      <c r="O23">
        <v>16</v>
      </c>
      <c r="P23">
        <v>106</v>
      </c>
      <c r="Q23">
        <v>35</v>
      </c>
      <c r="R23">
        <v>1</v>
      </c>
      <c r="S23">
        <v>5</v>
      </c>
      <c r="T23">
        <v>85</v>
      </c>
      <c r="U23">
        <v>15</v>
      </c>
      <c r="V23">
        <v>20</v>
      </c>
      <c r="W23">
        <v>0</v>
      </c>
      <c r="X23">
        <v>50</v>
      </c>
      <c r="Y23">
        <v>10</v>
      </c>
      <c r="Z23" t="str" cm="1">
        <f t="array" ref="Z23">_xlfn.IFS(MAX(V23:Y23)=V23,"Vitamin A",MAX(V23:Y23)=W23,"Vitamin C",MAX(V23:Y23)=X23,"Calcium",MAX(V23:Y23)=Y23,"Iron")</f>
        <v>Calcium</v>
      </c>
    </row>
    <row r="24" spans="1:26" x14ac:dyDescent="0.3">
      <c r="A24" t="s">
        <v>24</v>
      </c>
      <c r="B24" t="s">
        <v>73</v>
      </c>
      <c r="C24" t="s">
        <v>74</v>
      </c>
      <c r="D24">
        <v>670</v>
      </c>
      <c r="E24">
        <v>310</v>
      </c>
      <c r="F24" s="2">
        <f t="shared" si="0"/>
        <v>0.46268656716417911</v>
      </c>
      <c r="G24">
        <v>35</v>
      </c>
      <c r="H24">
        <v>53</v>
      </c>
      <c r="I24">
        <v>13</v>
      </c>
      <c r="J24">
        <v>63</v>
      </c>
      <c r="K24">
        <v>1.5</v>
      </c>
      <c r="L24">
        <v>295</v>
      </c>
      <c r="M24">
        <v>99</v>
      </c>
      <c r="N24">
        <v>1510</v>
      </c>
      <c r="O24">
        <v>63</v>
      </c>
      <c r="P24">
        <v>56</v>
      </c>
      <c r="Q24">
        <v>19</v>
      </c>
      <c r="R24">
        <v>3</v>
      </c>
      <c r="S24">
        <v>12</v>
      </c>
      <c r="T24">
        <v>7</v>
      </c>
      <c r="U24">
        <v>33</v>
      </c>
      <c r="V24">
        <v>20</v>
      </c>
      <c r="W24">
        <v>4</v>
      </c>
      <c r="X24">
        <v>25</v>
      </c>
      <c r="Y24">
        <v>25</v>
      </c>
      <c r="Z24" t="str" cm="1">
        <f t="array" ref="Z24">_xlfn.IFS(MAX(V24:Y24)=V24,"Vitamin A",MAX(V24:Y24)=W24,"Vitamin C",MAX(V24:Y24)=X24,"Calcium",MAX(V24:Y24)=Y24,"Iron")</f>
        <v>Calcium</v>
      </c>
    </row>
    <row r="25" spans="1:26" x14ac:dyDescent="0.3">
      <c r="A25" t="s">
        <v>414</v>
      </c>
      <c r="B25" t="s">
        <v>136</v>
      </c>
      <c r="C25" t="s">
        <v>137</v>
      </c>
      <c r="D25">
        <v>670</v>
      </c>
      <c r="E25">
        <v>300</v>
      </c>
      <c r="F25" s="2">
        <f t="shared" si="0"/>
        <v>0.44776119402985076</v>
      </c>
      <c r="G25">
        <v>33</v>
      </c>
      <c r="H25">
        <v>51</v>
      </c>
      <c r="I25">
        <v>9</v>
      </c>
      <c r="J25">
        <v>44</v>
      </c>
      <c r="K25">
        <v>0</v>
      </c>
      <c r="L25">
        <v>85</v>
      </c>
      <c r="M25">
        <v>29</v>
      </c>
      <c r="N25">
        <v>1410</v>
      </c>
      <c r="O25">
        <v>59</v>
      </c>
      <c r="P25">
        <v>58</v>
      </c>
      <c r="Q25">
        <v>19</v>
      </c>
      <c r="R25">
        <v>3</v>
      </c>
      <c r="S25">
        <v>14</v>
      </c>
      <c r="T25">
        <v>11</v>
      </c>
      <c r="U25">
        <v>36</v>
      </c>
      <c r="V25">
        <v>8</v>
      </c>
      <c r="W25">
        <v>20</v>
      </c>
      <c r="X25">
        <v>30</v>
      </c>
      <c r="Y25">
        <v>20</v>
      </c>
      <c r="Z25" t="str" cm="1">
        <f t="array" ref="Z25">_xlfn.IFS(MAX(V25:Y25)=V25,"Vitamin A",MAX(V25:Y25)=W25,"Vitamin C",MAX(V25:Y25)=X25,"Calcium",MAX(V25:Y25)=Y25,"Iron")</f>
        <v>Calcium</v>
      </c>
    </row>
    <row r="26" spans="1:26" x14ac:dyDescent="0.3">
      <c r="A26" t="s">
        <v>414</v>
      </c>
      <c r="B26" t="s">
        <v>163</v>
      </c>
      <c r="C26" t="s">
        <v>164</v>
      </c>
      <c r="D26">
        <v>670</v>
      </c>
      <c r="E26">
        <v>300</v>
      </c>
      <c r="F26" s="2">
        <f t="shared" si="0"/>
        <v>0.44776119402985076</v>
      </c>
      <c r="G26">
        <v>33</v>
      </c>
      <c r="H26">
        <v>51</v>
      </c>
      <c r="I26">
        <v>8</v>
      </c>
      <c r="J26">
        <v>40</v>
      </c>
      <c r="K26">
        <v>0.5</v>
      </c>
      <c r="L26">
        <v>60</v>
      </c>
      <c r="M26">
        <v>21</v>
      </c>
      <c r="N26">
        <v>1480</v>
      </c>
      <c r="O26">
        <v>62</v>
      </c>
      <c r="P26">
        <v>68</v>
      </c>
      <c r="Q26">
        <v>23</v>
      </c>
      <c r="R26">
        <v>5</v>
      </c>
      <c r="S26">
        <v>19</v>
      </c>
      <c r="T26">
        <v>12</v>
      </c>
      <c r="U26">
        <v>27</v>
      </c>
      <c r="V26">
        <v>60</v>
      </c>
      <c r="W26">
        <v>15</v>
      </c>
      <c r="X26">
        <v>20</v>
      </c>
      <c r="Y26">
        <v>20</v>
      </c>
      <c r="Z26" t="str" cm="1">
        <f t="array" ref="Z26">_xlfn.IFS(MAX(V26:Y26)=V26,"Vitamin A",MAX(V26:Y26)=W26,"Vitamin C",MAX(V26:Y26)=X26,"Calcium",MAX(V26:Y26)=Y26,"Iron")</f>
        <v>Vitamin A</v>
      </c>
    </row>
    <row r="27" spans="1:26" x14ac:dyDescent="0.3">
      <c r="A27" t="s">
        <v>416</v>
      </c>
      <c r="B27" t="s">
        <v>359</v>
      </c>
      <c r="C27" t="s">
        <v>265</v>
      </c>
      <c r="D27">
        <v>670</v>
      </c>
      <c r="E27">
        <v>240</v>
      </c>
      <c r="F27" s="2">
        <f t="shared" si="0"/>
        <v>0.35820895522388058</v>
      </c>
      <c r="G27">
        <v>26</v>
      </c>
      <c r="H27">
        <v>41</v>
      </c>
      <c r="I27">
        <v>17</v>
      </c>
      <c r="J27">
        <v>85</v>
      </c>
      <c r="K27">
        <v>1</v>
      </c>
      <c r="L27">
        <v>90</v>
      </c>
      <c r="M27">
        <v>30</v>
      </c>
      <c r="N27">
        <v>190</v>
      </c>
      <c r="O27">
        <v>8</v>
      </c>
      <c r="P27">
        <v>98</v>
      </c>
      <c r="Q27">
        <v>33</v>
      </c>
      <c r="R27">
        <v>1</v>
      </c>
      <c r="S27">
        <v>4</v>
      </c>
      <c r="T27">
        <v>88</v>
      </c>
      <c r="U27">
        <v>11</v>
      </c>
      <c r="V27">
        <v>20</v>
      </c>
      <c r="W27">
        <v>0</v>
      </c>
      <c r="X27">
        <v>35</v>
      </c>
      <c r="Y27">
        <v>4</v>
      </c>
      <c r="Z27" t="str" cm="1">
        <f t="array" ref="Z27">_xlfn.IFS(MAX(V27:Y27)=V27,"Vitamin A",MAX(V27:Y27)=W27,"Vitamin C",MAX(V27:Y27)=X27,"Calcium",MAX(V27:Y27)=Y27,"Iron")</f>
        <v>Calcium</v>
      </c>
    </row>
    <row r="28" spans="1:26" x14ac:dyDescent="0.3">
      <c r="A28" t="s">
        <v>416</v>
      </c>
      <c r="B28" t="s">
        <v>362</v>
      </c>
      <c r="C28" t="s">
        <v>265</v>
      </c>
      <c r="D28">
        <v>670</v>
      </c>
      <c r="E28">
        <v>250</v>
      </c>
      <c r="F28" s="2">
        <f t="shared" si="0"/>
        <v>0.37313432835820898</v>
      </c>
      <c r="G28">
        <v>27</v>
      </c>
      <c r="H28">
        <v>42</v>
      </c>
      <c r="I28">
        <v>17</v>
      </c>
      <c r="J28">
        <v>87</v>
      </c>
      <c r="K28">
        <v>1.5</v>
      </c>
      <c r="L28">
        <v>95</v>
      </c>
      <c r="M28">
        <v>32</v>
      </c>
      <c r="N28">
        <v>190</v>
      </c>
      <c r="O28">
        <v>8</v>
      </c>
      <c r="P28">
        <v>96</v>
      </c>
      <c r="Q28">
        <v>32</v>
      </c>
      <c r="R28">
        <v>0</v>
      </c>
      <c r="S28">
        <v>0</v>
      </c>
      <c r="T28">
        <v>88</v>
      </c>
      <c r="U28">
        <v>11</v>
      </c>
      <c r="V28">
        <v>20</v>
      </c>
      <c r="W28">
        <v>0</v>
      </c>
      <c r="X28">
        <v>35</v>
      </c>
      <c r="Y28">
        <v>2</v>
      </c>
      <c r="Z28" t="str" cm="1">
        <f t="array" ref="Z28">_xlfn.IFS(MAX(V28:Y28)=V28,"Vitamin A",MAX(V28:Y28)=W28,"Vitamin C",MAX(V28:Y28)=X28,"Calcium",MAX(V28:Y28)=Y28,"Iron")</f>
        <v>Calcium</v>
      </c>
    </row>
    <row r="29" spans="1:26" x14ac:dyDescent="0.3">
      <c r="A29" t="s">
        <v>415</v>
      </c>
      <c r="B29" t="s">
        <v>377</v>
      </c>
      <c r="C29" t="s">
        <v>234</v>
      </c>
      <c r="D29">
        <v>660</v>
      </c>
      <c r="E29">
        <v>170</v>
      </c>
      <c r="F29" s="2">
        <f t="shared" si="0"/>
        <v>0.25757575757575757</v>
      </c>
      <c r="G29">
        <v>19</v>
      </c>
      <c r="H29">
        <v>29</v>
      </c>
      <c r="I29">
        <v>12</v>
      </c>
      <c r="J29">
        <v>61</v>
      </c>
      <c r="K29">
        <v>1</v>
      </c>
      <c r="L29">
        <v>75</v>
      </c>
      <c r="M29">
        <v>24</v>
      </c>
      <c r="N29">
        <v>200</v>
      </c>
      <c r="O29">
        <v>9</v>
      </c>
      <c r="P29">
        <v>109</v>
      </c>
      <c r="Q29">
        <v>36</v>
      </c>
      <c r="R29">
        <v>0</v>
      </c>
      <c r="S29">
        <v>0</v>
      </c>
      <c r="T29">
        <v>81</v>
      </c>
      <c r="U29">
        <v>14</v>
      </c>
      <c r="V29">
        <v>25</v>
      </c>
      <c r="W29">
        <v>0</v>
      </c>
      <c r="X29">
        <v>50</v>
      </c>
      <c r="Y29">
        <v>0</v>
      </c>
      <c r="Z29" t="str" cm="1">
        <f t="array" ref="Z29">_xlfn.IFS(MAX(V29:Y29)=V29,"Vitamin A",MAX(V29:Y29)=W29,"Vitamin C",MAX(V29:Y29)=X29,"Calcium",MAX(V29:Y29)=Y29,"Iron")</f>
        <v>Calcium</v>
      </c>
    </row>
    <row r="30" spans="1:26" x14ac:dyDescent="0.3">
      <c r="A30" t="s">
        <v>415</v>
      </c>
      <c r="B30" t="s">
        <v>385</v>
      </c>
      <c r="C30" t="s">
        <v>234</v>
      </c>
      <c r="D30">
        <v>660</v>
      </c>
      <c r="E30">
        <v>170</v>
      </c>
      <c r="F30" s="2">
        <f t="shared" si="0"/>
        <v>0.25757575757575757</v>
      </c>
      <c r="G30">
        <v>19</v>
      </c>
      <c r="H30">
        <v>29</v>
      </c>
      <c r="I30">
        <v>12</v>
      </c>
      <c r="J30">
        <v>61</v>
      </c>
      <c r="K30">
        <v>1</v>
      </c>
      <c r="L30">
        <v>75</v>
      </c>
      <c r="M30">
        <v>24</v>
      </c>
      <c r="N30">
        <v>210</v>
      </c>
      <c r="O30">
        <v>9</v>
      </c>
      <c r="P30">
        <v>109</v>
      </c>
      <c r="Q30">
        <v>36</v>
      </c>
      <c r="R30">
        <v>0</v>
      </c>
      <c r="S30">
        <v>0</v>
      </c>
      <c r="T30">
        <v>93</v>
      </c>
      <c r="U30">
        <v>14</v>
      </c>
      <c r="V30">
        <v>25</v>
      </c>
      <c r="W30">
        <v>0</v>
      </c>
      <c r="X30">
        <v>50</v>
      </c>
      <c r="Y30">
        <v>0</v>
      </c>
      <c r="Z30" t="str" cm="1">
        <f t="array" ref="Z30">_xlfn.IFS(MAX(V30:Y30)=V30,"Vitamin A",MAX(V30:Y30)=W30,"Vitamin C",MAX(V30:Y30)=X30,"Calcium",MAX(V30:Y30)=Y30,"Iron")</f>
        <v>Calcium</v>
      </c>
    </row>
    <row r="31" spans="1:26" x14ac:dyDescent="0.3">
      <c r="A31" t="s">
        <v>415</v>
      </c>
      <c r="B31" t="s">
        <v>387</v>
      </c>
      <c r="C31" t="s">
        <v>160</v>
      </c>
      <c r="D31">
        <v>650</v>
      </c>
      <c r="E31">
        <v>210</v>
      </c>
      <c r="F31" s="2">
        <f t="shared" si="0"/>
        <v>0.32307692307692309</v>
      </c>
      <c r="G31">
        <v>23</v>
      </c>
      <c r="H31">
        <v>35</v>
      </c>
      <c r="I31">
        <v>14</v>
      </c>
      <c r="J31">
        <v>72</v>
      </c>
      <c r="K31">
        <v>0.5</v>
      </c>
      <c r="L31">
        <v>50</v>
      </c>
      <c r="M31">
        <v>17</v>
      </c>
      <c r="N31">
        <v>180</v>
      </c>
      <c r="O31">
        <v>7</v>
      </c>
      <c r="P31">
        <v>96</v>
      </c>
      <c r="Q31">
        <v>32</v>
      </c>
      <c r="R31">
        <v>1</v>
      </c>
      <c r="S31">
        <v>6</v>
      </c>
      <c r="T31">
        <v>89</v>
      </c>
      <c r="U31">
        <v>13</v>
      </c>
      <c r="V31">
        <v>15</v>
      </c>
      <c r="W31">
        <v>0</v>
      </c>
      <c r="X31">
        <v>45</v>
      </c>
      <c r="Y31">
        <v>8</v>
      </c>
      <c r="Z31" t="str" cm="1">
        <f t="array" ref="Z31">_xlfn.IFS(MAX(V31:Y31)=V31,"Vitamin A",MAX(V31:Y31)=W31,"Vitamin C",MAX(V31:Y31)=X31,"Calcium",MAX(V31:Y31)=Y31,"Iron")</f>
        <v>Calcium</v>
      </c>
    </row>
    <row r="32" spans="1:26" x14ac:dyDescent="0.3">
      <c r="A32" t="s">
        <v>24</v>
      </c>
      <c r="B32" t="s">
        <v>79</v>
      </c>
      <c r="C32" t="s">
        <v>80</v>
      </c>
      <c r="D32">
        <v>640</v>
      </c>
      <c r="E32">
        <v>330</v>
      </c>
      <c r="F32" s="2">
        <f t="shared" si="0"/>
        <v>0.515625</v>
      </c>
      <c r="G32">
        <v>37</v>
      </c>
      <c r="H32">
        <v>57</v>
      </c>
      <c r="I32">
        <v>14</v>
      </c>
      <c r="J32">
        <v>69</v>
      </c>
      <c r="K32">
        <v>0</v>
      </c>
      <c r="L32">
        <v>35</v>
      </c>
      <c r="M32">
        <v>12</v>
      </c>
      <c r="N32">
        <v>1590</v>
      </c>
      <c r="O32">
        <v>66</v>
      </c>
      <c r="P32">
        <v>50</v>
      </c>
      <c r="Q32">
        <v>17</v>
      </c>
      <c r="R32">
        <v>3</v>
      </c>
      <c r="S32">
        <v>12</v>
      </c>
      <c r="T32">
        <v>3</v>
      </c>
      <c r="U32">
        <v>26</v>
      </c>
      <c r="V32">
        <v>0</v>
      </c>
      <c r="W32">
        <v>2</v>
      </c>
      <c r="X32">
        <v>10</v>
      </c>
      <c r="Y32">
        <v>15</v>
      </c>
      <c r="Z32" t="str" cm="1">
        <f t="array" ref="Z32">_xlfn.IFS(MAX(V32:Y32)=V32,"Vitamin A",MAX(V32:Y32)=W32,"Vitamin C",MAX(V32:Y32)=X32,"Calcium",MAX(V32:Y32)=Y32,"Iron")</f>
        <v>Iron</v>
      </c>
    </row>
    <row r="33" spans="1:26" x14ac:dyDescent="0.3">
      <c r="A33" t="s">
        <v>414</v>
      </c>
      <c r="B33" t="s">
        <v>155</v>
      </c>
      <c r="C33" t="s">
        <v>156</v>
      </c>
      <c r="D33">
        <v>630</v>
      </c>
      <c r="E33">
        <v>280</v>
      </c>
      <c r="F33" s="2">
        <f t="shared" si="0"/>
        <v>0.44444444444444442</v>
      </c>
      <c r="G33">
        <v>32</v>
      </c>
      <c r="H33">
        <v>49</v>
      </c>
      <c r="I33">
        <v>9</v>
      </c>
      <c r="J33">
        <v>45</v>
      </c>
      <c r="K33">
        <v>0.5</v>
      </c>
      <c r="L33">
        <v>80</v>
      </c>
      <c r="M33">
        <v>26</v>
      </c>
      <c r="N33">
        <v>1540</v>
      </c>
      <c r="O33">
        <v>64</v>
      </c>
      <c r="P33">
        <v>56</v>
      </c>
      <c r="Q33">
        <v>19</v>
      </c>
      <c r="R33">
        <v>3</v>
      </c>
      <c r="S33">
        <v>13</v>
      </c>
      <c r="T33">
        <v>7</v>
      </c>
      <c r="U33">
        <v>32</v>
      </c>
      <c r="V33">
        <v>60</v>
      </c>
      <c r="W33">
        <v>20</v>
      </c>
      <c r="X33">
        <v>20</v>
      </c>
      <c r="Y33">
        <v>20</v>
      </c>
      <c r="Z33" t="str" cm="1">
        <f t="array" ref="Z33">_xlfn.IFS(MAX(V33:Y33)=V33,"Vitamin A",MAX(V33:Y33)=W33,"Vitamin C",MAX(V33:Y33)=X33,"Calcium",MAX(V33:Y33)=Y33,"Iron")</f>
        <v>Vitamin A</v>
      </c>
    </row>
    <row r="34" spans="1:26" x14ac:dyDescent="0.3">
      <c r="A34" t="s">
        <v>416</v>
      </c>
      <c r="B34" t="s">
        <v>364</v>
      </c>
      <c r="C34" t="s">
        <v>234</v>
      </c>
      <c r="D34">
        <v>630</v>
      </c>
      <c r="E34">
        <v>240</v>
      </c>
      <c r="F34" s="2">
        <f t="shared" si="0"/>
        <v>0.38095238095238093</v>
      </c>
      <c r="G34">
        <v>26</v>
      </c>
      <c r="H34">
        <v>41</v>
      </c>
      <c r="I34">
        <v>17</v>
      </c>
      <c r="J34">
        <v>85</v>
      </c>
      <c r="K34">
        <v>1</v>
      </c>
      <c r="L34">
        <v>80</v>
      </c>
      <c r="M34">
        <v>26</v>
      </c>
      <c r="N34">
        <v>160</v>
      </c>
      <c r="O34">
        <v>7</v>
      </c>
      <c r="P34">
        <v>91</v>
      </c>
      <c r="Q34">
        <v>30</v>
      </c>
      <c r="R34">
        <v>1</v>
      </c>
      <c r="S34">
        <v>5</v>
      </c>
      <c r="T34">
        <v>81</v>
      </c>
      <c r="U34">
        <v>9</v>
      </c>
      <c r="V34">
        <v>15</v>
      </c>
      <c r="W34">
        <v>0</v>
      </c>
      <c r="X34">
        <v>30</v>
      </c>
      <c r="Y34">
        <v>4</v>
      </c>
      <c r="Z34" t="str" cm="1">
        <f t="array" ref="Z34">_xlfn.IFS(MAX(V34:Y34)=V34,"Vitamin A",MAX(V34:Y34)=W34,"Vitamin C",MAX(V34:Y34)=X34,"Calcium",MAX(V34:Y34)=Y34,"Iron")</f>
        <v>Calcium</v>
      </c>
    </row>
    <row r="35" spans="1:26" x14ac:dyDescent="0.3">
      <c r="A35" t="s">
        <v>24</v>
      </c>
      <c r="B35" t="s">
        <v>70</v>
      </c>
      <c r="C35" t="s">
        <v>71</v>
      </c>
      <c r="D35">
        <v>620</v>
      </c>
      <c r="E35">
        <v>280</v>
      </c>
      <c r="F35" s="2">
        <f t="shared" si="0"/>
        <v>0.45161290322580644</v>
      </c>
      <c r="G35">
        <v>31</v>
      </c>
      <c r="H35">
        <v>48</v>
      </c>
      <c r="I35">
        <v>11</v>
      </c>
      <c r="J35">
        <v>56</v>
      </c>
      <c r="K35">
        <v>0.5</v>
      </c>
      <c r="L35">
        <v>275</v>
      </c>
      <c r="M35">
        <v>92</v>
      </c>
      <c r="N35">
        <v>1480</v>
      </c>
      <c r="O35">
        <v>62</v>
      </c>
      <c r="P35">
        <v>57</v>
      </c>
      <c r="Q35">
        <v>19</v>
      </c>
      <c r="R35">
        <v>3</v>
      </c>
      <c r="S35">
        <v>11</v>
      </c>
      <c r="T35">
        <v>7</v>
      </c>
      <c r="U35">
        <v>30</v>
      </c>
      <c r="V35">
        <v>20</v>
      </c>
      <c r="W35">
        <v>15</v>
      </c>
      <c r="X35">
        <v>20</v>
      </c>
      <c r="Y35">
        <v>20</v>
      </c>
      <c r="Z35" t="str" cm="1">
        <f t="array" ref="Z35">_xlfn.IFS(MAX(V35:Y35)=V35,"Vitamin A",MAX(V35:Y35)=W35,"Vitamin C",MAX(V35:Y35)=X35,"Calcium",MAX(V35:Y35)=Y35,"Iron")</f>
        <v>Vitamin A</v>
      </c>
    </row>
    <row r="36" spans="1:26" x14ac:dyDescent="0.3">
      <c r="A36" t="s">
        <v>413</v>
      </c>
      <c r="B36" t="s">
        <v>110</v>
      </c>
      <c r="C36" t="s">
        <v>111</v>
      </c>
      <c r="D36">
        <v>610</v>
      </c>
      <c r="E36">
        <v>280</v>
      </c>
      <c r="F36" s="2">
        <f t="shared" si="0"/>
        <v>0.45901639344262296</v>
      </c>
      <c r="G36">
        <v>31</v>
      </c>
      <c r="H36">
        <v>48</v>
      </c>
      <c r="I36">
        <v>13</v>
      </c>
      <c r="J36">
        <v>64</v>
      </c>
      <c r="K36">
        <v>1.5</v>
      </c>
      <c r="L36">
        <v>105</v>
      </c>
      <c r="M36">
        <v>35</v>
      </c>
      <c r="N36">
        <v>1180</v>
      </c>
      <c r="O36">
        <v>49</v>
      </c>
      <c r="P36">
        <v>46</v>
      </c>
      <c r="Q36">
        <v>15</v>
      </c>
      <c r="R36">
        <v>3</v>
      </c>
      <c r="S36">
        <v>14</v>
      </c>
      <c r="T36">
        <v>10</v>
      </c>
      <c r="U36">
        <v>37</v>
      </c>
      <c r="V36">
        <v>8</v>
      </c>
      <c r="W36">
        <v>20</v>
      </c>
      <c r="X36">
        <v>25</v>
      </c>
      <c r="Y36">
        <v>30</v>
      </c>
      <c r="Z36" t="str" cm="1">
        <f t="array" ref="Z36">_xlfn.IFS(MAX(V36:Y36)=V36,"Vitamin A",MAX(V36:Y36)=W36,"Vitamin C",MAX(V36:Y36)=X36,"Calcium",MAX(V36:Y36)=Y36,"Iron")</f>
        <v>Iron</v>
      </c>
    </row>
    <row r="37" spans="1:26" x14ac:dyDescent="0.3">
      <c r="A37" t="s">
        <v>414</v>
      </c>
      <c r="B37" t="s">
        <v>139</v>
      </c>
      <c r="C37" t="s">
        <v>140</v>
      </c>
      <c r="D37">
        <v>610</v>
      </c>
      <c r="E37">
        <v>250</v>
      </c>
      <c r="F37" s="2">
        <f t="shared" si="0"/>
        <v>0.4098360655737705</v>
      </c>
      <c r="G37">
        <v>28</v>
      </c>
      <c r="H37">
        <v>43</v>
      </c>
      <c r="I37">
        <v>6</v>
      </c>
      <c r="J37">
        <v>31</v>
      </c>
      <c r="K37">
        <v>0</v>
      </c>
      <c r="L37">
        <v>70</v>
      </c>
      <c r="M37">
        <v>24</v>
      </c>
      <c r="N37">
        <v>1400</v>
      </c>
      <c r="O37">
        <v>58</v>
      </c>
      <c r="P37">
        <v>57</v>
      </c>
      <c r="Q37">
        <v>19</v>
      </c>
      <c r="R37">
        <v>3</v>
      </c>
      <c r="S37">
        <v>13</v>
      </c>
      <c r="T37">
        <v>11</v>
      </c>
      <c r="U37">
        <v>32</v>
      </c>
      <c r="V37">
        <v>4</v>
      </c>
      <c r="W37">
        <v>20</v>
      </c>
      <c r="X37">
        <v>15</v>
      </c>
      <c r="Y37">
        <v>20</v>
      </c>
      <c r="Z37" t="str" cm="1">
        <f t="array" ref="Z37">_xlfn.IFS(MAX(V37:Y37)=V37,"Vitamin A",MAX(V37:Y37)=W37,"Vitamin C",MAX(V37:Y37)=X37,"Calcium",MAX(V37:Y37)=Y37,"Iron")</f>
        <v>Vitamin C</v>
      </c>
    </row>
    <row r="38" spans="1:26" x14ac:dyDescent="0.3">
      <c r="A38" t="s">
        <v>414</v>
      </c>
      <c r="B38" t="s">
        <v>159</v>
      </c>
      <c r="C38" t="s">
        <v>160</v>
      </c>
      <c r="D38">
        <v>610</v>
      </c>
      <c r="E38">
        <v>280</v>
      </c>
      <c r="F38" s="2">
        <f t="shared" si="0"/>
        <v>0.45901639344262296</v>
      </c>
      <c r="G38">
        <v>31</v>
      </c>
      <c r="H38">
        <v>47</v>
      </c>
      <c r="I38">
        <v>8</v>
      </c>
      <c r="J38">
        <v>40</v>
      </c>
      <c r="K38">
        <v>0.5</v>
      </c>
      <c r="L38">
        <v>65</v>
      </c>
      <c r="M38">
        <v>21</v>
      </c>
      <c r="N38">
        <v>1340</v>
      </c>
      <c r="O38">
        <v>56</v>
      </c>
      <c r="P38">
        <v>56</v>
      </c>
      <c r="Q38">
        <v>19</v>
      </c>
      <c r="R38">
        <v>3</v>
      </c>
      <c r="S38">
        <v>14</v>
      </c>
      <c r="T38">
        <v>8</v>
      </c>
      <c r="U38">
        <v>27</v>
      </c>
      <c r="V38">
        <v>60</v>
      </c>
      <c r="W38">
        <v>15</v>
      </c>
      <c r="X38">
        <v>20</v>
      </c>
      <c r="Y38">
        <v>20</v>
      </c>
      <c r="Z38" t="str" cm="1">
        <f t="array" ref="Z38">_xlfn.IFS(MAX(V38:Y38)=V38,"Vitamin A",MAX(V38:Y38)=W38,"Vitamin C",MAX(V38:Y38)=X38,"Calcium",MAX(V38:Y38)=Y38,"Iron")</f>
        <v>Vitamin A</v>
      </c>
    </row>
    <row r="39" spans="1:26" x14ac:dyDescent="0.3">
      <c r="A39" t="s">
        <v>413</v>
      </c>
      <c r="B39" t="s">
        <v>108</v>
      </c>
      <c r="C39" t="s">
        <v>109</v>
      </c>
      <c r="D39">
        <v>600</v>
      </c>
      <c r="E39">
        <v>260</v>
      </c>
      <c r="F39" s="2">
        <f t="shared" si="0"/>
        <v>0.43333333333333335</v>
      </c>
      <c r="G39">
        <v>29</v>
      </c>
      <c r="H39">
        <v>45</v>
      </c>
      <c r="I39">
        <v>13</v>
      </c>
      <c r="J39">
        <v>63</v>
      </c>
      <c r="K39">
        <v>1.5</v>
      </c>
      <c r="L39">
        <v>105</v>
      </c>
      <c r="M39">
        <v>34</v>
      </c>
      <c r="N39">
        <v>1440</v>
      </c>
      <c r="O39">
        <v>60</v>
      </c>
      <c r="P39">
        <v>48</v>
      </c>
      <c r="Q39">
        <v>16</v>
      </c>
      <c r="R39">
        <v>3</v>
      </c>
      <c r="S39">
        <v>12</v>
      </c>
      <c r="T39">
        <v>12</v>
      </c>
      <c r="U39">
        <v>37</v>
      </c>
      <c r="V39">
        <v>6</v>
      </c>
      <c r="W39">
        <v>15</v>
      </c>
      <c r="X39">
        <v>25</v>
      </c>
      <c r="Y39">
        <v>30</v>
      </c>
      <c r="Z39" t="str" cm="1">
        <f t="array" ref="Z39">_xlfn.IFS(MAX(V39:Y39)=V39,"Vitamin A",MAX(V39:Y39)=W39,"Vitamin C",MAX(V39:Y39)=X39,"Calcium",MAX(V39:Y39)=Y39,"Iron")</f>
        <v>Iron</v>
      </c>
    </row>
    <row r="40" spans="1:26" x14ac:dyDescent="0.3">
      <c r="A40" t="s">
        <v>414</v>
      </c>
      <c r="B40" t="s">
        <v>145</v>
      </c>
      <c r="C40" t="s">
        <v>121</v>
      </c>
      <c r="D40">
        <v>590</v>
      </c>
      <c r="E40">
        <v>230</v>
      </c>
      <c r="F40" s="2">
        <f t="shared" si="0"/>
        <v>0.38983050847457629</v>
      </c>
      <c r="G40">
        <v>25</v>
      </c>
      <c r="H40">
        <v>39</v>
      </c>
      <c r="I40">
        <v>8</v>
      </c>
      <c r="J40">
        <v>42</v>
      </c>
      <c r="K40">
        <v>0</v>
      </c>
      <c r="L40">
        <v>110</v>
      </c>
      <c r="M40">
        <v>37</v>
      </c>
      <c r="N40">
        <v>1560</v>
      </c>
      <c r="O40">
        <v>65</v>
      </c>
      <c r="P40">
        <v>51</v>
      </c>
      <c r="Q40">
        <v>17</v>
      </c>
      <c r="R40">
        <v>4</v>
      </c>
      <c r="S40">
        <v>15</v>
      </c>
      <c r="T40">
        <v>14</v>
      </c>
      <c r="U40">
        <v>40</v>
      </c>
      <c r="V40">
        <v>8</v>
      </c>
      <c r="W40">
        <v>30</v>
      </c>
      <c r="X40">
        <v>30</v>
      </c>
      <c r="Y40">
        <v>15</v>
      </c>
      <c r="Z40" t="str" cm="1">
        <f t="array" ref="Z40">_xlfn.IFS(MAX(V40:Y40)=V40,"Vitamin A",MAX(V40:Y40)=W40,"Vitamin C",MAX(V40:Y40)=X40,"Calcium",MAX(V40:Y40)=Y40,"Iron")</f>
        <v>Vitamin C</v>
      </c>
    </row>
    <row r="41" spans="1:26" x14ac:dyDescent="0.3">
      <c r="A41" t="s">
        <v>24</v>
      </c>
      <c r="B41" t="s">
        <v>50</v>
      </c>
      <c r="C41" t="s">
        <v>51</v>
      </c>
      <c r="D41">
        <v>570</v>
      </c>
      <c r="E41">
        <v>330</v>
      </c>
      <c r="F41" s="2">
        <f t="shared" si="0"/>
        <v>0.57894736842105265</v>
      </c>
      <c r="G41">
        <v>37</v>
      </c>
      <c r="H41">
        <v>57</v>
      </c>
      <c r="I41">
        <v>15</v>
      </c>
      <c r="J41">
        <v>74</v>
      </c>
      <c r="K41">
        <v>0</v>
      </c>
      <c r="L41">
        <v>250</v>
      </c>
      <c r="M41">
        <v>83</v>
      </c>
      <c r="N41">
        <v>1280</v>
      </c>
      <c r="O41">
        <v>53</v>
      </c>
      <c r="P41">
        <v>42</v>
      </c>
      <c r="Q41">
        <v>14</v>
      </c>
      <c r="R41">
        <v>3</v>
      </c>
      <c r="S41">
        <v>11</v>
      </c>
      <c r="T41">
        <v>3</v>
      </c>
      <c r="U41">
        <v>18</v>
      </c>
      <c r="V41">
        <v>10</v>
      </c>
      <c r="W41">
        <v>0</v>
      </c>
      <c r="X41">
        <v>10</v>
      </c>
      <c r="Y41">
        <v>20</v>
      </c>
      <c r="Z41" t="str" cm="1">
        <f t="array" ref="Z41">_xlfn.IFS(MAX(V41:Y41)=V41,"Vitamin A",MAX(V41:Y41)=W41,"Vitamin C",MAX(V41:Y41)=X41,"Calcium",MAX(V41:Y41)=Y41,"Iron")</f>
        <v>Iron</v>
      </c>
    </row>
    <row r="42" spans="1:26" x14ac:dyDescent="0.3">
      <c r="A42" t="s">
        <v>24</v>
      </c>
      <c r="B42" t="s">
        <v>72</v>
      </c>
      <c r="C42" t="s">
        <v>60</v>
      </c>
      <c r="D42">
        <v>570</v>
      </c>
      <c r="E42">
        <v>230</v>
      </c>
      <c r="F42" s="2">
        <f t="shared" si="0"/>
        <v>0.40350877192982454</v>
      </c>
      <c r="G42">
        <v>25</v>
      </c>
      <c r="H42">
        <v>39</v>
      </c>
      <c r="I42">
        <v>9</v>
      </c>
      <c r="J42">
        <v>45</v>
      </c>
      <c r="K42">
        <v>0.5</v>
      </c>
      <c r="L42">
        <v>60</v>
      </c>
      <c r="M42">
        <v>20</v>
      </c>
      <c r="N42">
        <v>1480</v>
      </c>
      <c r="O42">
        <v>62</v>
      </c>
      <c r="P42">
        <v>55</v>
      </c>
      <c r="Q42">
        <v>18</v>
      </c>
      <c r="R42">
        <v>3</v>
      </c>
      <c r="S42">
        <v>12</v>
      </c>
      <c r="T42">
        <v>8</v>
      </c>
      <c r="U42">
        <v>30</v>
      </c>
      <c r="V42">
        <v>10</v>
      </c>
      <c r="W42">
        <v>15</v>
      </c>
      <c r="X42">
        <v>20</v>
      </c>
      <c r="Y42">
        <v>15</v>
      </c>
      <c r="Z42" t="str" cm="1">
        <f t="array" ref="Z42">_xlfn.IFS(MAX(V42:Y42)=V42,"Vitamin A",MAX(V42:Y42)=W42,"Vitamin C",MAX(V42:Y42)=X42,"Calcium",MAX(V42:Y42)=Y42,"Iron")</f>
        <v>Calcium</v>
      </c>
    </row>
    <row r="43" spans="1:26" x14ac:dyDescent="0.3">
      <c r="A43" t="s">
        <v>415</v>
      </c>
      <c r="B43" t="s">
        <v>382</v>
      </c>
      <c r="C43" t="s">
        <v>240</v>
      </c>
      <c r="D43">
        <v>560</v>
      </c>
      <c r="E43">
        <v>150</v>
      </c>
      <c r="F43" s="2">
        <f t="shared" si="0"/>
        <v>0.26785714285714285</v>
      </c>
      <c r="G43">
        <v>16</v>
      </c>
      <c r="H43">
        <v>25</v>
      </c>
      <c r="I43">
        <v>10</v>
      </c>
      <c r="J43">
        <v>51</v>
      </c>
      <c r="K43">
        <v>1</v>
      </c>
      <c r="L43">
        <v>60</v>
      </c>
      <c r="M43">
        <v>20</v>
      </c>
      <c r="N43">
        <v>240</v>
      </c>
      <c r="O43">
        <v>10</v>
      </c>
      <c r="P43">
        <v>91</v>
      </c>
      <c r="Q43">
        <v>30</v>
      </c>
      <c r="R43">
        <v>1</v>
      </c>
      <c r="S43">
        <v>5</v>
      </c>
      <c r="T43">
        <v>77</v>
      </c>
      <c r="U43">
        <v>12</v>
      </c>
      <c r="V43">
        <v>20</v>
      </c>
      <c r="W43">
        <v>0</v>
      </c>
      <c r="X43">
        <v>40</v>
      </c>
      <c r="Y43">
        <v>8</v>
      </c>
      <c r="Z43" t="str" cm="1">
        <f t="array" ref="Z43">_xlfn.IFS(MAX(V43:Y43)=V43,"Vitamin A",MAX(V43:Y43)=W43,"Vitamin C",MAX(V43:Y43)=X43,"Calcium",MAX(V43:Y43)=Y43,"Iron")</f>
        <v>Calcium</v>
      </c>
    </row>
    <row r="44" spans="1:26" x14ac:dyDescent="0.3">
      <c r="A44" t="s">
        <v>24</v>
      </c>
      <c r="B44" t="s">
        <v>67</v>
      </c>
      <c r="C44" t="s">
        <v>60</v>
      </c>
      <c r="D44">
        <v>550</v>
      </c>
      <c r="E44">
        <v>280</v>
      </c>
      <c r="F44" s="2">
        <f t="shared" si="0"/>
        <v>0.50909090909090904</v>
      </c>
      <c r="G44">
        <v>31</v>
      </c>
      <c r="H44">
        <v>48</v>
      </c>
      <c r="I44">
        <v>12</v>
      </c>
      <c r="J44">
        <v>61</v>
      </c>
      <c r="K44">
        <v>0</v>
      </c>
      <c r="L44">
        <v>265</v>
      </c>
      <c r="M44">
        <v>89</v>
      </c>
      <c r="N44">
        <v>1320</v>
      </c>
      <c r="O44">
        <v>55</v>
      </c>
      <c r="P44">
        <v>48</v>
      </c>
      <c r="Q44">
        <v>16</v>
      </c>
      <c r="R44">
        <v>2</v>
      </c>
      <c r="S44">
        <v>9</v>
      </c>
      <c r="T44">
        <v>15</v>
      </c>
      <c r="U44">
        <v>20</v>
      </c>
      <c r="V44">
        <v>10</v>
      </c>
      <c r="W44">
        <v>0</v>
      </c>
      <c r="X44">
        <v>20</v>
      </c>
      <c r="Y44">
        <v>15</v>
      </c>
      <c r="Z44" t="str" cm="1">
        <f t="array" ref="Z44">_xlfn.IFS(MAX(V44:Y44)=V44,"Vitamin A",MAX(V44:Y44)=W44,"Vitamin C",MAX(V44:Y44)=X44,"Calcium",MAX(V44:Y44)=Y44,"Iron")</f>
        <v>Calcium</v>
      </c>
    </row>
    <row r="45" spans="1:26" x14ac:dyDescent="0.3">
      <c r="A45" t="s">
        <v>416</v>
      </c>
      <c r="B45" t="s">
        <v>358</v>
      </c>
      <c r="C45" t="s">
        <v>234</v>
      </c>
      <c r="D45">
        <v>550</v>
      </c>
      <c r="E45">
        <v>200</v>
      </c>
      <c r="F45" s="2">
        <f t="shared" si="0"/>
        <v>0.36363636363636365</v>
      </c>
      <c r="G45">
        <v>22</v>
      </c>
      <c r="H45">
        <v>34</v>
      </c>
      <c r="I45">
        <v>14</v>
      </c>
      <c r="J45">
        <v>71</v>
      </c>
      <c r="K45">
        <v>1</v>
      </c>
      <c r="L45">
        <v>75</v>
      </c>
      <c r="M45">
        <v>25</v>
      </c>
      <c r="N45">
        <v>160</v>
      </c>
      <c r="O45">
        <v>7</v>
      </c>
      <c r="P45">
        <v>80</v>
      </c>
      <c r="Q45">
        <v>27</v>
      </c>
      <c r="R45">
        <v>1</v>
      </c>
      <c r="S45">
        <v>4</v>
      </c>
      <c r="T45">
        <v>71</v>
      </c>
      <c r="U45">
        <v>9</v>
      </c>
      <c r="V45">
        <v>15</v>
      </c>
      <c r="W45">
        <v>0</v>
      </c>
      <c r="X45">
        <v>25</v>
      </c>
      <c r="Y45">
        <v>4</v>
      </c>
      <c r="Z45" t="str" cm="1">
        <f t="array" ref="Z45">_xlfn.IFS(MAX(V45:Y45)=V45,"Vitamin A",MAX(V45:Y45)=W45,"Vitamin C",MAX(V45:Y45)=X45,"Calcium",MAX(V45:Y45)=Y45,"Iron")</f>
        <v>Calcium</v>
      </c>
    </row>
    <row r="46" spans="1:26" x14ac:dyDescent="0.3">
      <c r="A46" t="s">
        <v>416</v>
      </c>
      <c r="B46" t="s">
        <v>361</v>
      </c>
      <c r="C46" t="s">
        <v>234</v>
      </c>
      <c r="D46">
        <v>550</v>
      </c>
      <c r="E46">
        <v>200</v>
      </c>
      <c r="F46" s="2">
        <f t="shared" si="0"/>
        <v>0.36363636363636365</v>
      </c>
      <c r="G46">
        <v>23</v>
      </c>
      <c r="H46">
        <v>35</v>
      </c>
      <c r="I46">
        <v>15</v>
      </c>
      <c r="J46">
        <v>73</v>
      </c>
      <c r="K46">
        <v>1</v>
      </c>
      <c r="L46">
        <v>80</v>
      </c>
      <c r="M46">
        <v>27</v>
      </c>
      <c r="N46">
        <v>160</v>
      </c>
      <c r="O46">
        <v>7</v>
      </c>
      <c r="P46">
        <v>79</v>
      </c>
      <c r="Q46">
        <v>26</v>
      </c>
      <c r="R46">
        <v>0</v>
      </c>
      <c r="S46">
        <v>0</v>
      </c>
      <c r="T46">
        <v>71</v>
      </c>
      <c r="U46">
        <v>9</v>
      </c>
      <c r="V46">
        <v>20</v>
      </c>
      <c r="W46">
        <v>0</v>
      </c>
      <c r="X46">
        <v>30</v>
      </c>
      <c r="Y46">
        <v>2</v>
      </c>
      <c r="Z46" t="str" cm="1">
        <f t="array" ref="Z46">_xlfn.IFS(MAX(V46:Y46)=V46,"Vitamin A",MAX(V46:Y46)=W46,"Vitamin C",MAX(V46:Y46)=X46,"Calcium",MAX(V46:Y46)=Y46,"Iron")</f>
        <v>Calcium</v>
      </c>
    </row>
    <row r="47" spans="1:26" x14ac:dyDescent="0.3">
      <c r="A47" t="s">
        <v>415</v>
      </c>
      <c r="B47" t="s">
        <v>379</v>
      </c>
      <c r="C47" t="s">
        <v>240</v>
      </c>
      <c r="D47">
        <v>550</v>
      </c>
      <c r="E47">
        <v>150</v>
      </c>
      <c r="F47" s="2">
        <f t="shared" si="0"/>
        <v>0.27272727272727271</v>
      </c>
      <c r="G47">
        <v>16</v>
      </c>
      <c r="H47">
        <v>25</v>
      </c>
      <c r="I47">
        <v>10</v>
      </c>
      <c r="J47">
        <v>52</v>
      </c>
      <c r="K47">
        <v>1</v>
      </c>
      <c r="L47">
        <v>60</v>
      </c>
      <c r="M47">
        <v>21</v>
      </c>
      <c r="N47">
        <v>160</v>
      </c>
      <c r="O47">
        <v>7</v>
      </c>
      <c r="P47">
        <v>90</v>
      </c>
      <c r="Q47">
        <v>30</v>
      </c>
      <c r="R47">
        <v>0</v>
      </c>
      <c r="S47">
        <v>0</v>
      </c>
      <c r="T47">
        <v>79</v>
      </c>
      <c r="U47">
        <v>12</v>
      </c>
      <c r="V47">
        <v>20</v>
      </c>
      <c r="W47">
        <v>0</v>
      </c>
      <c r="X47">
        <v>40</v>
      </c>
      <c r="Y47">
        <v>0</v>
      </c>
      <c r="Z47" t="str" cm="1">
        <f t="array" ref="Z47">_xlfn.IFS(MAX(V47:Y47)=V47,"Vitamin A",MAX(V47:Y47)=W47,"Vitamin C",MAX(V47:Y47)=X47,"Calcium",MAX(V47:Y47)=Y47,"Iron")</f>
        <v>Calcium</v>
      </c>
    </row>
    <row r="48" spans="1:26" x14ac:dyDescent="0.3">
      <c r="A48" t="s">
        <v>24</v>
      </c>
      <c r="B48" t="s">
        <v>59</v>
      </c>
      <c r="C48" t="s">
        <v>60</v>
      </c>
      <c r="D48">
        <v>540</v>
      </c>
      <c r="E48">
        <v>290</v>
      </c>
      <c r="F48" s="2">
        <f t="shared" si="0"/>
        <v>0.53703703703703709</v>
      </c>
      <c r="G48">
        <v>32</v>
      </c>
      <c r="H48">
        <v>49</v>
      </c>
      <c r="I48">
        <v>16</v>
      </c>
      <c r="J48">
        <v>78</v>
      </c>
      <c r="K48">
        <v>1</v>
      </c>
      <c r="L48">
        <v>280</v>
      </c>
      <c r="M48">
        <v>93</v>
      </c>
      <c r="N48">
        <v>1470</v>
      </c>
      <c r="O48">
        <v>61</v>
      </c>
      <c r="P48">
        <v>38</v>
      </c>
      <c r="Q48">
        <v>13</v>
      </c>
      <c r="R48">
        <v>2</v>
      </c>
      <c r="S48">
        <v>8</v>
      </c>
      <c r="T48">
        <v>3</v>
      </c>
      <c r="U48">
        <v>25</v>
      </c>
      <c r="V48">
        <v>10</v>
      </c>
      <c r="W48">
        <v>2</v>
      </c>
      <c r="X48">
        <v>20</v>
      </c>
      <c r="Y48">
        <v>25</v>
      </c>
      <c r="Z48" t="str" cm="1">
        <f t="array" ref="Z48">_xlfn.IFS(MAX(V48:Y48)=V48,"Vitamin A",MAX(V48:Y48)=W48,"Vitamin C",MAX(V48:Y48)=X48,"Calcium",MAX(V48:Y48)=Y48,"Iron")</f>
        <v>Iron</v>
      </c>
    </row>
    <row r="49" spans="1:26" x14ac:dyDescent="0.3">
      <c r="A49" t="s">
        <v>413</v>
      </c>
      <c r="B49" t="s">
        <v>112</v>
      </c>
      <c r="C49" t="s">
        <v>113</v>
      </c>
      <c r="D49">
        <v>540</v>
      </c>
      <c r="E49">
        <v>250</v>
      </c>
      <c r="F49" s="2">
        <f t="shared" si="0"/>
        <v>0.46296296296296297</v>
      </c>
      <c r="G49">
        <v>27</v>
      </c>
      <c r="H49">
        <v>42</v>
      </c>
      <c r="I49">
        <v>11</v>
      </c>
      <c r="J49">
        <v>54</v>
      </c>
      <c r="K49">
        <v>1.5</v>
      </c>
      <c r="L49">
        <v>85</v>
      </c>
      <c r="M49">
        <v>28</v>
      </c>
      <c r="N49">
        <v>960</v>
      </c>
      <c r="O49">
        <v>40</v>
      </c>
      <c r="P49">
        <v>45</v>
      </c>
      <c r="Q49">
        <v>15</v>
      </c>
      <c r="R49">
        <v>3</v>
      </c>
      <c r="S49">
        <v>13</v>
      </c>
      <c r="T49">
        <v>9</v>
      </c>
      <c r="U49">
        <v>29</v>
      </c>
      <c r="V49">
        <v>10</v>
      </c>
      <c r="W49">
        <v>8</v>
      </c>
      <c r="X49">
        <v>25</v>
      </c>
      <c r="Y49">
        <v>30</v>
      </c>
      <c r="Z49" t="str" cm="1">
        <f t="array" ref="Z49">_xlfn.IFS(MAX(V49:Y49)=V49,"Vitamin A",MAX(V49:Y49)=W49,"Vitamin C",MAX(V49:Y49)=X49,"Calcium",MAX(V49:Y49)=Y49,"Iron")</f>
        <v>Iron</v>
      </c>
    </row>
    <row r="50" spans="1:26" x14ac:dyDescent="0.3">
      <c r="A50" t="s">
        <v>414</v>
      </c>
      <c r="B50" t="s">
        <v>167</v>
      </c>
      <c r="C50" t="s">
        <v>168</v>
      </c>
      <c r="D50">
        <v>540</v>
      </c>
      <c r="E50">
        <v>200</v>
      </c>
      <c r="F50" s="2">
        <f t="shared" si="0"/>
        <v>0.37037037037037035</v>
      </c>
      <c r="G50">
        <v>23</v>
      </c>
      <c r="H50">
        <v>35</v>
      </c>
      <c r="I50">
        <v>4.5</v>
      </c>
      <c r="J50">
        <v>23</v>
      </c>
      <c r="K50">
        <v>0</v>
      </c>
      <c r="L50">
        <v>50</v>
      </c>
      <c r="M50">
        <v>16</v>
      </c>
      <c r="N50">
        <v>1260</v>
      </c>
      <c r="O50">
        <v>52</v>
      </c>
      <c r="P50">
        <v>61</v>
      </c>
      <c r="Q50">
        <v>20</v>
      </c>
      <c r="R50">
        <v>3</v>
      </c>
      <c r="S50">
        <v>13</v>
      </c>
      <c r="T50">
        <v>14</v>
      </c>
      <c r="U50">
        <v>23</v>
      </c>
      <c r="V50">
        <v>60</v>
      </c>
      <c r="W50">
        <v>15</v>
      </c>
      <c r="X50">
        <v>8</v>
      </c>
      <c r="Y50">
        <v>20</v>
      </c>
      <c r="Z50" t="str" cm="1">
        <f t="array" ref="Z50">_xlfn.IFS(MAX(V50:Y50)=V50,"Vitamin A",MAX(V50:Y50)=W50,"Vitamin C",MAX(V50:Y50)=X50,"Calcium",MAX(V50:Y50)=Y50,"Iron")</f>
        <v>Vitamin A</v>
      </c>
    </row>
    <row r="51" spans="1:26" x14ac:dyDescent="0.3">
      <c r="A51" t="s">
        <v>416</v>
      </c>
      <c r="B51" t="s">
        <v>325</v>
      </c>
      <c r="C51" t="s">
        <v>283</v>
      </c>
      <c r="D51">
        <v>540</v>
      </c>
      <c r="E51">
        <v>180</v>
      </c>
      <c r="F51" s="2">
        <f t="shared" si="0"/>
        <v>0.33333333333333331</v>
      </c>
      <c r="G51">
        <v>20</v>
      </c>
      <c r="H51">
        <v>31</v>
      </c>
      <c r="I51">
        <v>12</v>
      </c>
      <c r="J51">
        <v>58</v>
      </c>
      <c r="K51">
        <v>0.5</v>
      </c>
      <c r="L51">
        <v>60</v>
      </c>
      <c r="M51">
        <v>20</v>
      </c>
      <c r="N51">
        <v>280</v>
      </c>
      <c r="O51">
        <v>12</v>
      </c>
      <c r="P51">
        <v>73</v>
      </c>
      <c r="Q51">
        <v>24</v>
      </c>
      <c r="R51">
        <v>1</v>
      </c>
      <c r="S51">
        <v>5</v>
      </c>
      <c r="T51">
        <v>68</v>
      </c>
      <c r="U51">
        <v>17</v>
      </c>
      <c r="V51">
        <v>20</v>
      </c>
      <c r="W51">
        <v>0</v>
      </c>
      <c r="X51">
        <v>60</v>
      </c>
      <c r="Y51">
        <v>8</v>
      </c>
      <c r="Z51" t="str" cm="1">
        <f t="array" ref="Z51">_xlfn.IFS(MAX(V51:Y51)=V51,"Vitamin A",MAX(V51:Y51)=W51,"Vitamin C",MAX(V51:Y51)=X51,"Calcium",MAX(V51:Y51)=Y51,"Iron")</f>
        <v>Calcium</v>
      </c>
    </row>
    <row r="52" spans="1:26" x14ac:dyDescent="0.3">
      <c r="A52" t="s">
        <v>413</v>
      </c>
      <c r="B52" t="s">
        <v>104</v>
      </c>
      <c r="C52" t="s">
        <v>105</v>
      </c>
      <c r="D52">
        <v>530</v>
      </c>
      <c r="E52">
        <v>240</v>
      </c>
      <c r="F52" s="2">
        <f t="shared" si="0"/>
        <v>0.45283018867924529</v>
      </c>
      <c r="G52">
        <v>27</v>
      </c>
      <c r="H52">
        <v>42</v>
      </c>
      <c r="I52">
        <v>10</v>
      </c>
      <c r="J52">
        <v>48</v>
      </c>
      <c r="K52">
        <v>1</v>
      </c>
      <c r="L52">
        <v>85</v>
      </c>
      <c r="M52">
        <v>28</v>
      </c>
      <c r="N52">
        <v>960</v>
      </c>
      <c r="O52">
        <v>40</v>
      </c>
      <c r="P52">
        <v>47</v>
      </c>
      <c r="Q52">
        <v>16</v>
      </c>
      <c r="R52">
        <v>3</v>
      </c>
      <c r="S52">
        <v>13</v>
      </c>
      <c r="T52">
        <v>9</v>
      </c>
      <c r="U52">
        <v>24</v>
      </c>
      <c r="V52">
        <v>6</v>
      </c>
      <c r="W52">
        <v>2</v>
      </c>
      <c r="X52">
        <v>25</v>
      </c>
      <c r="Y52">
        <v>25</v>
      </c>
      <c r="Z52" t="str" cm="1">
        <f t="array" ref="Z52">_xlfn.IFS(MAX(V52:Y52)=V52,"Vitamin A",MAX(V52:Y52)=W52,"Vitamin C",MAX(V52:Y52)=X52,"Calcium",MAX(V52:Y52)=Y52,"Iron")</f>
        <v>Calcium</v>
      </c>
    </row>
    <row r="53" spans="1:26" x14ac:dyDescent="0.3">
      <c r="A53" t="s">
        <v>416</v>
      </c>
      <c r="B53" t="s">
        <v>363</v>
      </c>
      <c r="C53" t="s">
        <v>240</v>
      </c>
      <c r="D53">
        <v>530</v>
      </c>
      <c r="E53">
        <v>200</v>
      </c>
      <c r="F53" s="2">
        <f t="shared" si="0"/>
        <v>0.37735849056603776</v>
      </c>
      <c r="G53">
        <v>23</v>
      </c>
      <c r="H53">
        <v>35</v>
      </c>
      <c r="I53">
        <v>14</v>
      </c>
      <c r="J53">
        <v>72</v>
      </c>
      <c r="K53">
        <v>1</v>
      </c>
      <c r="L53">
        <v>65</v>
      </c>
      <c r="M53">
        <v>22</v>
      </c>
      <c r="N53">
        <v>135</v>
      </c>
      <c r="O53">
        <v>6</v>
      </c>
      <c r="P53">
        <v>76</v>
      </c>
      <c r="Q53">
        <v>25</v>
      </c>
      <c r="R53">
        <v>1</v>
      </c>
      <c r="S53">
        <v>5</v>
      </c>
      <c r="T53">
        <v>67</v>
      </c>
      <c r="U53">
        <v>8</v>
      </c>
      <c r="V53">
        <v>15</v>
      </c>
      <c r="W53">
        <v>0</v>
      </c>
      <c r="X53">
        <v>25</v>
      </c>
      <c r="Y53">
        <v>4</v>
      </c>
      <c r="Z53" t="str" cm="1">
        <f t="array" ref="Z53">_xlfn.IFS(MAX(V53:Y53)=V53,"Vitamin A",MAX(V53:Y53)=W53,"Vitamin C",MAX(V53:Y53)=X53,"Calcium",MAX(V53:Y53)=Y53,"Iron")</f>
        <v>Calcium</v>
      </c>
    </row>
    <row r="54" spans="1:26" x14ac:dyDescent="0.3">
      <c r="A54" t="s">
        <v>415</v>
      </c>
      <c r="B54" t="s">
        <v>376</v>
      </c>
      <c r="C54" t="s">
        <v>240</v>
      </c>
      <c r="D54">
        <v>530</v>
      </c>
      <c r="E54">
        <v>140</v>
      </c>
      <c r="F54" s="2">
        <f t="shared" si="0"/>
        <v>0.26415094339622641</v>
      </c>
      <c r="G54">
        <v>15</v>
      </c>
      <c r="H54">
        <v>24</v>
      </c>
      <c r="I54">
        <v>10</v>
      </c>
      <c r="J54">
        <v>49</v>
      </c>
      <c r="K54">
        <v>1</v>
      </c>
      <c r="L54">
        <v>60</v>
      </c>
      <c r="M54">
        <v>20</v>
      </c>
      <c r="N54">
        <v>160</v>
      </c>
      <c r="O54">
        <v>7</v>
      </c>
      <c r="P54">
        <v>86</v>
      </c>
      <c r="Q54">
        <v>29</v>
      </c>
      <c r="R54">
        <v>0</v>
      </c>
      <c r="S54">
        <v>0</v>
      </c>
      <c r="T54">
        <v>63</v>
      </c>
      <c r="U54">
        <v>11</v>
      </c>
      <c r="V54">
        <v>20</v>
      </c>
      <c r="W54">
        <v>0</v>
      </c>
      <c r="X54">
        <v>40</v>
      </c>
      <c r="Y54">
        <v>0</v>
      </c>
      <c r="Z54" t="str" cm="1">
        <f t="array" ref="Z54">_xlfn.IFS(MAX(V54:Y54)=V54,"Vitamin A",MAX(V54:Y54)=W54,"Vitamin C",MAX(V54:Y54)=X54,"Calcium",MAX(V54:Y54)=Y54,"Iron")</f>
        <v>Calcium</v>
      </c>
    </row>
    <row r="55" spans="1:26" x14ac:dyDescent="0.3">
      <c r="A55" t="s">
        <v>24</v>
      </c>
      <c r="B55" t="s">
        <v>38</v>
      </c>
      <c r="C55" t="s">
        <v>39</v>
      </c>
      <c r="D55">
        <v>520</v>
      </c>
      <c r="E55">
        <v>270</v>
      </c>
      <c r="F55" s="2">
        <f t="shared" si="0"/>
        <v>0.51923076923076927</v>
      </c>
      <c r="G55">
        <v>30</v>
      </c>
      <c r="H55">
        <v>47</v>
      </c>
      <c r="I55">
        <v>14</v>
      </c>
      <c r="J55">
        <v>68</v>
      </c>
      <c r="K55">
        <v>0</v>
      </c>
      <c r="L55">
        <v>250</v>
      </c>
      <c r="M55">
        <v>83</v>
      </c>
      <c r="N55">
        <v>1410</v>
      </c>
      <c r="O55">
        <v>59</v>
      </c>
      <c r="P55">
        <v>43</v>
      </c>
      <c r="Q55">
        <v>14</v>
      </c>
      <c r="R55">
        <v>3</v>
      </c>
      <c r="S55">
        <v>12</v>
      </c>
      <c r="T55">
        <v>4</v>
      </c>
      <c r="U55">
        <v>19</v>
      </c>
      <c r="V55">
        <v>15</v>
      </c>
      <c r="W55">
        <v>8</v>
      </c>
      <c r="X55">
        <v>20</v>
      </c>
      <c r="Y55">
        <v>20</v>
      </c>
      <c r="Z55" t="str" cm="1">
        <f t="array" ref="Z55">_xlfn.IFS(MAX(V55:Y55)=V55,"Vitamin A",MAX(V55:Y55)=W55,"Vitamin C",MAX(V55:Y55)=X55,"Calcium",MAX(V55:Y55)=Y55,"Iron")</f>
        <v>Calcium</v>
      </c>
    </row>
    <row r="56" spans="1:26" x14ac:dyDescent="0.3">
      <c r="A56" t="s">
        <v>24</v>
      </c>
      <c r="B56" t="s">
        <v>53</v>
      </c>
      <c r="C56" t="s">
        <v>54</v>
      </c>
      <c r="D56">
        <v>520</v>
      </c>
      <c r="E56">
        <v>280</v>
      </c>
      <c r="F56" s="2">
        <f t="shared" si="0"/>
        <v>0.53846153846153844</v>
      </c>
      <c r="G56">
        <v>32</v>
      </c>
      <c r="H56">
        <v>49</v>
      </c>
      <c r="I56">
        <v>13</v>
      </c>
      <c r="J56">
        <v>65</v>
      </c>
      <c r="K56">
        <v>0</v>
      </c>
      <c r="L56">
        <v>35</v>
      </c>
      <c r="M56">
        <v>11</v>
      </c>
      <c r="N56">
        <v>1290</v>
      </c>
      <c r="O56">
        <v>54</v>
      </c>
      <c r="P56">
        <v>40</v>
      </c>
      <c r="Q56">
        <v>13</v>
      </c>
      <c r="R56">
        <v>3</v>
      </c>
      <c r="S56">
        <v>11</v>
      </c>
      <c r="T56">
        <v>3</v>
      </c>
      <c r="U56">
        <v>18</v>
      </c>
      <c r="V56">
        <v>4</v>
      </c>
      <c r="W56">
        <v>0</v>
      </c>
      <c r="X56">
        <v>8</v>
      </c>
      <c r="Y56">
        <v>15</v>
      </c>
      <c r="Z56" t="str" cm="1">
        <f t="array" ref="Z56">_xlfn.IFS(MAX(V56:Y56)=V56,"Vitamin A",MAX(V56:Y56)=W56,"Vitamin C",MAX(V56:Y56)=X56,"Calcium",MAX(V56:Y56)=Y56,"Iron")</f>
        <v>Iron</v>
      </c>
    </row>
    <row r="57" spans="1:26" x14ac:dyDescent="0.3">
      <c r="A57" t="s">
        <v>24</v>
      </c>
      <c r="B57" t="s">
        <v>93</v>
      </c>
      <c r="C57" t="s">
        <v>94</v>
      </c>
      <c r="D57">
        <v>520</v>
      </c>
      <c r="E57">
        <v>210</v>
      </c>
      <c r="F57" s="2">
        <f t="shared" si="0"/>
        <v>0.40384615384615385</v>
      </c>
      <c r="G57">
        <v>24</v>
      </c>
      <c r="H57">
        <v>37</v>
      </c>
      <c r="I57">
        <v>7</v>
      </c>
      <c r="J57">
        <v>36</v>
      </c>
      <c r="K57">
        <v>0</v>
      </c>
      <c r="L57">
        <v>50</v>
      </c>
      <c r="M57">
        <v>17</v>
      </c>
      <c r="N57">
        <v>930</v>
      </c>
      <c r="O57">
        <v>39</v>
      </c>
      <c r="P57">
        <v>61</v>
      </c>
      <c r="Q57">
        <v>20</v>
      </c>
      <c r="R57">
        <v>3</v>
      </c>
      <c r="S57">
        <v>10</v>
      </c>
      <c r="T57">
        <v>14</v>
      </c>
      <c r="U57">
        <v>15</v>
      </c>
      <c r="V57">
        <v>0</v>
      </c>
      <c r="W57">
        <v>0</v>
      </c>
      <c r="X57">
        <v>15</v>
      </c>
      <c r="Y57">
        <v>15</v>
      </c>
      <c r="Z57" t="str" cm="1">
        <f t="array" ref="Z57">_xlfn.IFS(MAX(V57:Y57)=V57,"Vitamin A",MAX(V57:Y57)=W57,"Vitamin C",MAX(V57:Y57)=X57,"Calcium",MAX(V57:Y57)=Y57,"Iron")</f>
        <v>Calcium</v>
      </c>
    </row>
    <row r="58" spans="1:26" x14ac:dyDescent="0.3">
      <c r="A58" t="s">
        <v>413</v>
      </c>
      <c r="B58" t="s">
        <v>106</v>
      </c>
      <c r="C58" t="s">
        <v>107</v>
      </c>
      <c r="D58">
        <v>520</v>
      </c>
      <c r="E58">
        <v>240</v>
      </c>
      <c r="F58" s="2">
        <f t="shared" si="0"/>
        <v>0.46153846153846156</v>
      </c>
      <c r="G58">
        <v>26</v>
      </c>
      <c r="H58">
        <v>41</v>
      </c>
      <c r="I58">
        <v>12</v>
      </c>
      <c r="J58">
        <v>61</v>
      </c>
      <c r="K58">
        <v>1.5</v>
      </c>
      <c r="L58">
        <v>95</v>
      </c>
      <c r="M58">
        <v>31</v>
      </c>
      <c r="N58">
        <v>1100</v>
      </c>
      <c r="O58">
        <v>46</v>
      </c>
      <c r="P58">
        <v>41</v>
      </c>
      <c r="Q58">
        <v>14</v>
      </c>
      <c r="R58">
        <v>3</v>
      </c>
      <c r="S58">
        <v>11</v>
      </c>
      <c r="T58">
        <v>10</v>
      </c>
      <c r="U58">
        <v>30</v>
      </c>
      <c r="V58">
        <v>10</v>
      </c>
      <c r="W58">
        <v>2</v>
      </c>
      <c r="X58">
        <v>30</v>
      </c>
      <c r="Y58">
        <v>25</v>
      </c>
      <c r="Z58" t="str" cm="1">
        <f t="array" ref="Z58">_xlfn.IFS(MAX(V58:Y58)=V58,"Vitamin A",MAX(V58:Y58)=W58,"Vitamin C",MAX(V58:Y58)=X58,"Calcium",MAX(V58:Y58)=Y58,"Iron")</f>
        <v>Calcium</v>
      </c>
    </row>
    <row r="59" spans="1:26" x14ac:dyDescent="0.3">
      <c r="A59" t="s">
        <v>414</v>
      </c>
      <c r="B59" t="s">
        <v>165</v>
      </c>
      <c r="C59" t="s">
        <v>166</v>
      </c>
      <c r="D59">
        <v>520</v>
      </c>
      <c r="E59">
        <v>180</v>
      </c>
      <c r="F59" s="2">
        <f t="shared" si="0"/>
        <v>0.34615384615384615</v>
      </c>
      <c r="G59">
        <v>20</v>
      </c>
      <c r="H59">
        <v>31</v>
      </c>
      <c r="I59">
        <v>6</v>
      </c>
      <c r="J59">
        <v>32</v>
      </c>
      <c r="K59">
        <v>0</v>
      </c>
      <c r="L59">
        <v>80</v>
      </c>
      <c r="M59">
        <v>27</v>
      </c>
      <c r="N59">
        <v>1320</v>
      </c>
      <c r="O59">
        <v>55</v>
      </c>
      <c r="P59">
        <v>55</v>
      </c>
      <c r="Q59">
        <v>18</v>
      </c>
      <c r="R59">
        <v>5</v>
      </c>
      <c r="S59">
        <v>20</v>
      </c>
      <c r="T59">
        <v>10</v>
      </c>
      <c r="U59">
        <v>31</v>
      </c>
      <c r="V59">
        <v>70</v>
      </c>
      <c r="W59">
        <v>15</v>
      </c>
      <c r="X59">
        <v>20</v>
      </c>
      <c r="Y59">
        <v>20</v>
      </c>
      <c r="Z59" t="str" cm="1">
        <f t="array" ref="Z59">_xlfn.IFS(MAX(V59:Y59)=V59,"Vitamin A",MAX(V59:Y59)=W59,"Vitamin C",MAX(V59:Y59)=X59,"Calcium",MAX(V59:Y59)=Y59,"Iron")</f>
        <v>Vitamin A</v>
      </c>
    </row>
    <row r="60" spans="1:26" x14ac:dyDescent="0.3">
      <c r="A60" t="s">
        <v>24</v>
      </c>
      <c r="B60" t="s">
        <v>48</v>
      </c>
      <c r="C60" t="s">
        <v>49</v>
      </c>
      <c r="D60">
        <v>510</v>
      </c>
      <c r="E60">
        <v>290</v>
      </c>
      <c r="F60" s="2">
        <f t="shared" si="0"/>
        <v>0.56862745098039214</v>
      </c>
      <c r="G60">
        <v>33</v>
      </c>
      <c r="H60">
        <v>50</v>
      </c>
      <c r="I60">
        <v>14</v>
      </c>
      <c r="J60">
        <v>71</v>
      </c>
      <c r="K60">
        <v>0</v>
      </c>
      <c r="L60">
        <v>250</v>
      </c>
      <c r="M60">
        <v>83</v>
      </c>
      <c r="N60">
        <v>1170</v>
      </c>
      <c r="O60">
        <v>49</v>
      </c>
      <c r="P60">
        <v>36</v>
      </c>
      <c r="Q60">
        <v>12</v>
      </c>
      <c r="R60">
        <v>2</v>
      </c>
      <c r="S60">
        <v>6</v>
      </c>
      <c r="T60">
        <v>2</v>
      </c>
      <c r="U60">
        <v>18</v>
      </c>
      <c r="V60">
        <v>6</v>
      </c>
      <c r="W60">
        <v>0</v>
      </c>
      <c r="X60">
        <v>10</v>
      </c>
      <c r="Y60">
        <v>20</v>
      </c>
      <c r="Z60" t="str" cm="1">
        <f t="array" ref="Z60">_xlfn.IFS(MAX(V60:Y60)=V60,"Vitamin A",MAX(V60:Y60)=W60,"Vitamin C",MAX(V60:Y60)=X60,"Calcium",MAX(V60:Y60)=Y60,"Iron")</f>
        <v>Iron</v>
      </c>
    </row>
    <row r="61" spans="1:26" x14ac:dyDescent="0.3">
      <c r="A61" t="s">
        <v>414</v>
      </c>
      <c r="B61" t="s">
        <v>132</v>
      </c>
      <c r="C61" t="s">
        <v>133</v>
      </c>
      <c r="D61">
        <v>510</v>
      </c>
      <c r="E61">
        <v>200</v>
      </c>
      <c r="F61" s="2">
        <f t="shared" si="0"/>
        <v>0.39215686274509803</v>
      </c>
      <c r="G61">
        <v>22</v>
      </c>
      <c r="H61">
        <v>33</v>
      </c>
      <c r="I61">
        <v>3.5</v>
      </c>
      <c r="J61">
        <v>18</v>
      </c>
      <c r="K61">
        <v>0</v>
      </c>
      <c r="L61">
        <v>45</v>
      </c>
      <c r="M61">
        <v>16</v>
      </c>
      <c r="N61">
        <v>990</v>
      </c>
      <c r="O61">
        <v>41</v>
      </c>
      <c r="P61">
        <v>55</v>
      </c>
      <c r="Q61">
        <v>18</v>
      </c>
      <c r="R61">
        <v>3</v>
      </c>
      <c r="S61">
        <v>13</v>
      </c>
      <c r="T61">
        <v>10</v>
      </c>
      <c r="U61">
        <v>24</v>
      </c>
      <c r="V61">
        <v>4</v>
      </c>
      <c r="W61">
        <v>6</v>
      </c>
      <c r="X61">
        <v>15</v>
      </c>
      <c r="Y61">
        <v>20</v>
      </c>
      <c r="Z61" t="str" cm="1">
        <f t="array" ref="Z61">_xlfn.IFS(MAX(V61:Y61)=V61,"Vitamin A",MAX(V61:Y61)=W61,"Vitamin C",MAX(V61:Y61)=X61,"Calcium",MAX(V61:Y61)=Y61,"Iron")</f>
        <v>Iron</v>
      </c>
    </row>
    <row r="62" spans="1:26" x14ac:dyDescent="0.3">
      <c r="A62" t="s">
        <v>414</v>
      </c>
      <c r="B62" t="s">
        <v>138</v>
      </c>
      <c r="C62" t="s">
        <v>111</v>
      </c>
      <c r="D62">
        <v>510</v>
      </c>
      <c r="E62">
        <v>180</v>
      </c>
      <c r="F62" s="2">
        <f t="shared" si="0"/>
        <v>0.35294117647058826</v>
      </c>
      <c r="G62">
        <v>20</v>
      </c>
      <c r="H62">
        <v>31</v>
      </c>
      <c r="I62">
        <v>7</v>
      </c>
      <c r="J62">
        <v>36</v>
      </c>
      <c r="K62">
        <v>0</v>
      </c>
      <c r="L62">
        <v>105</v>
      </c>
      <c r="M62">
        <v>35</v>
      </c>
      <c r="N62">
        <v>1250</v>
      </c>
      <c r="O62">
        <v>52</v>
      </c>
      <c r="P62">
        <v>44</v>
      </c>
      <c r="Q62">
        <v>15</v>
      </c>
      <c r="R62">
        <v>3</v>
      </c>
      <c r="S62">
        <v>13</v>
      </c>
      <c r="T62">
        <v>9</v>
      </c>
      <c r="U62">
        <v>40</v>
      </c>
      <c r="V62">
        <v>8</v>
      </c>
      <c r="W62">
        <v>20</v>
      </c>
      <c r="X62">
        <v>30</v>
      </c>
      <c r="Y62">
        <v>20</v>
      </c>
      <c r="Z62" t="str" cm="1">
        <f t="array" ref="Z62">_xlfn.IFS(MAX(V62:Y62)=V62,"Vitamin A",MAX(V62:Y62)=W62,"Vitamin C",MAX(V62:Y62)=X62,"Calcium",MAX(V62:Y62)=Y62,"Iron")</f>
        <v>Calcium</v>
      </c>
    </row>
    <row r="63" spans="1:26" x14ac:dyDescent="0.3">
      <c r="A63" t="s">
        <v>417</v>
      </c>
      <c r="B63" t="s">
        <v>209</v>
      </c>
      <c r="C63" t="s">
        <v>210</v>
      </c>
      <c r="D63">
        <v>510</v>
      </c>
      <c r="E63">
        <v>220</v>
      </c>
      <c r="F63" s="2">
        <f t="shared" si="0"/>
        <v>0.43137254901960786</v>
      </c>
      <c r="G63">
        <v>24</v>
      </c>
      <c r="H63">
        <v>37</v>
      </c>
      <c r="I63">
        <v>3.5</v>
      </c>
      <c r="J63">
        <v>17</v>
      </c>
      <c r="K63">
        <v>0</v>
      </c>
      <c r="L63">
        <v>0</v>
      </c>
      <c r="M63">
        <v>0</v>
      </c>
      <c r="N63">
        <v>290</v>
      </c>
      <c r="O63">
        <v>12</v>
      </c>
      <c r="P63">
        <v>67</v>
      </c>
      <c r="Q63">
        <v>22</v>
      </c>
      <c r="R63">
        <v>5</v>
      </c>
      <c r="S63">
        <v>22</v>
      </c>
      <c r="T63">
        <v>0</v>
      </c>
      <c r="U63">
        <v>6</v>
      </c>
      <c r="V63">
        <v>0</v>
      </c>
      <c r="W63">
        <v>70</v>
      </c>
      <c r="X63">
        <v>2</v>
      </c>
      <c r="Y63">
        <v>8</v>
      </c>
      <c r="Z63" t="str" cm="1">
        <f t="array" ref="Z63">_xlfn.IFS(MAX(V63:Y63)=V63,"Vitamin A",MAX(V63:Y63)=W63,"Vitamin C",MAX(V63:Y63)=X63,"Calcium",MAX(V63:Y63)=Y63,"Iron")</f>
        <v>Vitamin C</v>
      </c>
    </row>
    <row r="64" spans="1:26" x14ac:dyDescent="0.3">
      <c r="A64" t="s">
        <v>415</v>
      </c>
      <c r="B64" t="s">
        <v>392</v>
      </c>
      <c r="C64" t="s">
        <v>393</v>
      </c>
      <c r="D64">
        <v>510</v>
      </c>
      <c r="E64">
        <v>150</v>
      </c>
      <c r="F64" s="2">
        <f t="shared" si="0"/>
        <v>0.29411764705882354</v>
      </c>
      <c r="G64">
        <v>17</v>
      </c>
      <c r="H64">
        <v>26</v>
      </c>
      <c r="I64">
        <v>9</v>
      </c>
      <c r="J64">
        <v>44</v>
      </c>
      <c r="K64">
        <v>0.5</v>
      </c>
      <c r="L64">
        <v>45</v>
      </c>
      <c r="M64">
        <v>14</v>
      </c>
      <c r="N64">
        <v>280</v>
      </c>
      <c r="O64">
        <v>12</v>
      </c>
      <c r="P64">
        <v>80</v>
      </c>
      <c r="Q64">
        <v>27</v>
      </c>
      <c r="R64">
        <v>1</v>
      </c>
      <c r="S64">
        <v>4</v>
      </c>
      <c r="T64">
        <v>64</v>
      </c>
      <c r="U64">
        <v>12</v>
      </c>
      <c r="V64">
        <v>15</v>
      </c>
      <c r="W64">
        <v>0</v>
      </c>
      <c r="X64">
        <v>40</v>
      </c>
      <c r="Y64">
        <v>8</v>
      </c>
      <c r="Z64" t="str" cm="1">
        <f t="array" ref="Z64">_xlfn.IFS(MAX(V64:Y64)=V64,"Vitamin A",MAX(V64:Y64)=W64,"Vitamin C",MAX(V64:Y64)=X64,"Calcium",MAX(V64:Y64)=Y64,"Iron")</f>
        <v>Calcium</v>
      </c>
    </row>
    <row r="65" spans="1:26" x14ac:dyDescent="0.3">
      <c r="A65" t="s">
        <v>24</v>
      </c>
      <c r="B65" t="s">
        <v>68</v>
      </c>
      <c r="C65" t="s">
        <v>69</v>
      </c>
      <c r="D65">
        <v>500</v>
      </c>
      <c r="E65">
        <v>230</v>
      </c>
      <c r="F65" s="2">
        <f t="shared" si="0"/>
        <v>0.46</v>
      </c>
      <c r="G65">
        <v>26</v>
      </c>
      <c r="H65">
        <v>40</v>
      </c>
      <c r="I65">
        <v>10</v>
      </c>
      <c r="J65">
        <v>52</v>
      </c>
      <c r="K65">
        <v>0</v>
      </c>
      <c r="L65">
        <v>50</v>
      </c>
      <c r="M65">
        <v>17</v>
      </c>
      <c r="N65">
        <v>1320</v>
      </c>
      <c r="O65">
        <v>55</v>
      </c>
      <c r="P65">
        <v>46</v>
      </c>
      <c r="Q65">
        <v>15</v>
      </c>
      <c r="R65">
        <v>2</v>
      </c>
      <c r="S65">
        <v>9</v>
      </c>
      <c r="T65">
        <v>15</v>
      </c>
      <c r="U65">
        <v>21</v>
      </c>
      <c r="V65">
        <v>2</v>
      </c>
      <c r="W65">
        <v>0</v>
      </c>
      <c r="X65">
        <v>20</v>
      </c>
      <c r="Y65">
        <v>10</v>
      </c>
      <c r="Z65" t="str" cm="1">
        <f t="array" ref="Z65">_xlfn.IFS(MAX(V65:Y65)=V65,"Vitamin A",MAX(V65:Y65)=W65,"Vitamin C",MAX(V65:Y65)=X65,"Calcium",MAX(V65:Y65)=Y65,"Iron")</f>
        <v>Calcium</v>
      </c>
    </row>
    <row r="66" spans="1:26" x14ac:dyDescent="0.3">
      <c r="A66" t="s">
        <v>413</v>
      </c>
      <c r="B66" t="s">
        <v>129</v>
      </c>
      <c r="C66" t="s">
        <v>130</v>
      </c>
      <c r="D66">
        <v>500</v>
      </c>
      <c r="E66">
        <v>240</v>
      </c>
      <c r="F66" s="2">
        <f t="shared" si="0"/>
        <v>0.48</v>
      </c>
      <c r="G66">
        <v>26</v>
      </c>
      <c r="H66">
        <v>40</v>
      </c>
      <c r="I66">
        <v>10</v>
      </c>
      <c r="J66">
        <v>48</v>
      </c>
      <c r="K66">
        <v>0</v>
      </c>
      <c r="L66">
        <v>70</v>
      </c>
      <c r="M66">
        <v>23</v>
      </c>
      <c r="N66">
        <v>980</v>
      </c>
      <c r="O66">
        <v>41</v>
      </c>
      <c r="P66">
        <v>44</v>
      </c>
      <c r="Q66">
        <v>15</v>
      </c>
      <c r="R66">
        <v>3</v>
      </c>
      <c r="S66">
        <v>10</v>
      </c>
      <c r="T66">
        <v>11</v>
      </c>
      <c r="U66">
        <v>22</v>
      </c>
      <c r="V66">
        <v>2</v>
      </c>
      <c r="W66">
        <v>2</v>
      </c>
      <c r="X66">
        <v>15</v>
      </c>
      <c r="Y66">
        <v>20</v>
      </c>
      <c r="Z66" t="str" cm="1">
        <f t="array" ref="Z66">_xlfn.IFS(MAX(V66:Y66)=V66,"Vitamin A",MAX(V66:Y66)=W66,"Vitamin C",MAX(V66:Y66)=X66,"Calcium",MAX(V66:Y66)=Y66,"Iron")</f>
        <v>Iron</v>
      </c>
    </row>
    <row r="67" spans="1:26" x14ac:dyDescent="0.3">
      <c r="A67" t="s">
        <v>416</v>
      </c>
      <c r="B67" t="s">
        <v>313</v>
      </c>
      <c r="C67" t="s">
        <v>283</v>
      </c>
      <c r="D67">
        <v>500</v>
      </c>
      <c r="E67">
        <v>150</v>
      </c>
      <c r="F67" s="2">
        <f t="shared" ref="F67:F130" si="1">IFERROR(E67/D67,0)</f>
        <v>0.3</v>
      </c>
      <c r="G67">
        <v>17</v>
      </c>
      <c r="H67">
        <v>26</v>
      </c>
      <c r="I67">
        <v>10</v>
      </c>
      <c r="J67">
        <v>49</v>
      </c>
      <c r="K67">
        <v>0.5</v>
      </c>
      <c r="L67">
        <v>50</v>
      </c>
      <c r="M67">
        <v>17</v>
      </c>
      <c r="N67">
        <v>240</v>
      </c>
      <c r="O67">
        <v>10</v>
      </c>
      <c r="P67">
        <v>72</v>
      </c>
      <c r="Q67">
        <v>24</v>
      </c>
      <c r="R67">
        <v>2</v>
      </c>
      <c r="S67">
        <v>10</v>
      </c>
      <c r="T67">
        <v>63</v>
      </c>
      <c r="U67">
        <v>16</v>
      </c>
      <c r="V67">
        <v>15</v>
      </c>
      <c r="W67">
        <v>0</v>
      </c>
      <c r="X67">
        <v>50</v>
      </c>
      <c r="Y67">
        <v>8</v>
      </c>
      <c r="Z67" t="str" cm="1">
        <f t="array" ref="Z67">_xlfn.IFS(MAX(V67:Y67)=V67,"Vitamin A",MAX(V67:Y67)=W67,"Vitamin C",MAX(V67:Y67)=X67,"Calcium",MAX(V67:Y67)=Y67,"Iron")</f>
        <v>Calcium</v>
      </c>
    </row>
    <row r="68" spans="1:26" x14ac:dyDescent="0.3">
      <c r="A68" t="s">
        <v>24</v>
      </c>
      <c r="B68" t="s">
        <v>46</v>
      </c>
      <c r="C68" t="s">
        <v>47</v>
      </c>
      <c r="D68">
        <v>480</v>
      </c>
      <c r="E68">
        <v>280</v>
      </c>
      <c r="F68" s="2">
        <f t="shared" si="1"/>
        <v>0.58333333333333337</v>
      </c>
      <c r="G68">
        <v>31</v>
      </c>
      <c r="H68">
        <v>48</v>
      </c>
      <c r="I68">
        <v>13</v>
      </c>
      <c r="J68">
        <v>65</v>
      </c>
      <c r="K68">
        <v>0</v>
      </c>
      <c r="L68">
        <v>30</v>
      </c>
      <c r="M68">
        <v>10</v>
      </c>
      <c r="N68">
        <v>1190</v>
      </c>
      <c r="O68">
        <v>50</v>
      </c>
      <c r="P68">
        <v>39</v>
      </c>
      <c r="Q68">
        <v>13</v>
      </c>
      <c r="R68">
        <v>3</v>
      </c>
      <c r="S68">
        <v>11</v>
      </c>
      <c r="T68">
        <v>3</v>
      </c>
      <c r="U68">
        <v>11</v>
      </c>
      <c r="V68">
        <v>4</v>
      </c>
      <c r="W68">
        <v>0</v>
      </c>
      <c r="X68">
        <v>8</v>
      </c>
      <c r="Y68">
        <v>15</v>
      </c>
      <c r="Z68" t="str" cm="1">
        <f t="array" ref="Z68">_xlfn.IFS(MAX(V68:Y68)=V68,"Vitamin A",MAX(V68:Y68)=W68,"Vitamin C",MAX(V68:Y68)=X68,"Calcium",MAX(V68:Y68)=Y68,"Iron")</f>
        <v>Iron</v>
      </c>
    </row>
    <row r="69" spans="1:26" x14ac:dyDescent="0.3">
      <c r="A69" t="s">
        <v>414</v>
      </c>
      <c r="B69" t="s">
        <v>150</v>
      </c>
      <c r="C69" t="s">
        <v>151</v>
      </c>
      <c r="D69">
        <v>480</v>
      </c>
      <c r="E69">
        <v>220</v>
      </c>
      <c r="F69" s="2">
        <f t="shared" si="1"/>
        <v>0.45833333333333331</v>
      </c>
      <c r="G69">
        <v>24</v>
      </c>
      <c r="H69">
        <v>38</v>
      </c>
      <c r="I69">
        <v>7</v>
      </c>
      <c r="J69">
        <v>35</v>
      </c>
      <c r="K69">
        <v>0</v>
      </c>
      <c r="L69">
        <v>65</v>
      </c>
      <c r="M69">
        <v>21</v>
      </c>
      <c r="N69">
        <v>1260</v>
      </c>
      <c r="O69">
        <v>53</v>
      </c>
      <c r="P69">
        <v>43</v>
      </c>
      <c r="Q69">
        <v>14</v>
      </c>
      <c r="R69">
        <v>2</v>
      </c>
      <c r="S69">
        <v>8</v>
      </c>
      <c r="T69">
        <v>6</v>
      </c>
      <c r="U69">
        <v>22</v>
      </c>
      <c r="V69">
        <v>4</v>
      </c>
      <c r="W69">
        <v>10</v>
      </c>
      <c r="X69">
        <v>20</v>
      </c>
      <c r="Y69">
        <v>15</v>
      </c>
      <c r="Z69" t="str" cm="1">
        <f t="array" ref="Z69">_xlfn.IFS(MAX(V69:Y69)=V69,"Vitamin A",MAX(V69:Y69)=W69,"Vitamin C",MAX(V69:Y69)=X69,"Calcium",MAX(V69:Y69)=Y69,"Iron")</f>
        <v>Calcium</v>
      </c>
    </row>
    <row r="70" spans="1:26" x14ac:dyDescent="0.3">
      <c r="A70" t="s">
        <v>414</v>
      </c>
      <c r="B70" t="s">
        <v>157</v>
      </c>
      <c r="C70" t="s">
        <v>158</v>
      </c>
      <c r="D70">
        <v>480</v>
      </c>
      <c r="E70">
        <v>170</v>
      </c>
      <c r="F70" s="2">
        <f t="shared" si="1"/>
        <v>0.35416666666666669</v>
      </c>
      <c r="G70">
        <v>19</v>
      </c>
      <c r="H70">
        <v>28</v>
      </c>
      <c r="I70">
        <v>7</v>
      </c>
      <c r="J70">
        <v>36</v>
      </c>
      <c r="K70">
        <v>0</v>
      </c>
      <c r="L70">
        <v>95</v>
      </c>
      <c r="M70">
        <v>32</v>
      </c>
      <c r="N70">
        <v>1370</v>
      </c>
      <c r="O70">
        <v>57</v>
      </c>
      <c r="P70">
        <v>42</v>
      </c>
      <c r="Q70">
        <v>14</v>
      </c>
      <c r="R70">
        <v>3</v>
      </c>
      <c r="S70">
        <v>13</v>
      </c>
      <c r="T70">
        <v>6</v>
      </c>
      <c r="U70">
        <v>36</v>
      </c>
      <c r="V70">
        <v>60</v>
      </c>
      <c r="W70">
        <v>25</v>
      </c>
      <c r="X70">
        <v>20</v>
      </c>
      <c r="Y70">
        <v>20</v>
      </c>
      <c r="Z70" t="str" cm="1">
        <f t="array" ref="Z70">_xlfn.IFS(MAX(V70:Y70)=V70,"Vitamin A",MAX(V70:Y70)=W70,"Vitamin C",MAX(V70:Y70)=X70,"Calcium",MAX(V70:Y70)=Y70,"Iron")</f>
        <v>Vitamin A</v>
      </c>
    </row>
    <row r="71" spans="1:26" x14ac:dyDescent="0.3">
      <c r="A71" t="s">
        <v>416</v>
      </c>
      <c r="B71" t="s">
        <v>319</v>
      </c>
      <c r="C71" t="s">
        <v>283</v>
      </c>
      <c r="D71">
        <v>480</v>
      </c>
      <c r="E71">
        <v>150</v>
      </c>
      <c r="F71" s="2">
        <f t="shared" si="1"/>
        <v>0.3125</v>
      </c>
      <c r="G71">
        <v>17</v>
      </c>
      <c r="H71">
        <v>26</v>
      </c>
      <c r="I71">
        <v>10</v>
      </c>
      <c r="J71">
        <v>49</v>
      </c>
      <c r="K71">
        <v>0.5</v>
      </c>
      <c r="L71">
        <v>50</v>
      </c>
      <c r="M71">
        <v>17</v>
      </c>
      <c r="N71">
        <v>270</v>
      </c>
      <c r="O71">
        <v>11</v>
      </c>
      <c r="P71">
        <v>66</v>
      </c>
      <c r="Q71">
        <v>22</v>
      </c>
      <c r="R71">
        <v>1</v>
      </c>
      <c r="S71">
        <v>5</v>
      </c>
      <c r="T71">
        <v>60</v>
      </c>
      <c r="U71">
        <v>16</v>
      </c>
      <c r="V71">
        <v>15</v>
      </c>
      <c r="W71">
        <v>0</v>
      </c>
      <c r="X71">
        <v>50</v>
      </c>
      <c r="Y71">
        <v>4</v>
      </c>
      <c r="Z71" t="str" cm="1">
        <f t="array" ref="Z71">_xlfn.IFS(MAX(V71:Y71)=V71,"Vitamin A",MAX(V71:Y71)=W71,"Vitamin C",MAX(V71:Y71)=X71,"Calcium",MAX(V71:Y71)=Y71,"Iron")</f>
        <v>Calcium</v>
      </c>
    </row>
    <row r="72" spans="1:26" x14ac:dyDescent="0.3">
      <c r="A72" t="s">
        <v>416</v>
      </c>
      <c r="B72" t="s">
        <v>347</v>
      </c>
      <c r="C72" t="s">
        <v>265</v>
      </c>
      <c r="D72">
        <v>480</v>
      </c>
      <c r="E72">
        <v>150</v>
      </c>
      <c r="F72" s="2">
        <f t="shared" si="1"/>
        <v>0.3125</v>
      </c>
      <c r="G72">
        <v>16</v>
      </c>
      <c r="H72">
        <v>25</v>
      </c>
      <c r="I72">
        <v>10</v>
      </c>
      <c r="J72">
        <v>49</v>
      </c>
      <c r="K72">
        <v>0.5</v>
      </c>
      <c r="L72">
        <v>50</v>
      </c>
      <c r="M72">
        <v>17</v>
      </c>
      <c r="N72">
        <v>220</v>
      </c>
      <c r="O72">
        <v>9</v>
      </c>
      <c r="P72">
        <v>70</v>
      </c>
      <c r="Q72">
        <v>23</v>
      </c>
      <c r="R72">
        <v>2</v>
      </c>
      <c r="S72">
        <v>8</v>
      </c>
      <c r="T72">
        <v>62</v>
      </c>
      <c r="U72">
        <v>14</v>
      </c>
      <c r="V72">
        <v>15</v>
      </c>
      <c r="W72">
        <v>0</v>
      </c>
      <c r="X72">
        <v>40</v>
      </c>
      <c r="Y72">
        <v>8</v>
      </c>
      <c r="Z72" t="str" cm="1">
        <f t="array" ref="Z72">_xlfn.IFS(MAX(V72:Y72)=V72,"Vitamin A",MAX(V72:Y72)=W72,"Vitamin C",MAX(V72:Y72)=X72,"Calcium",MAX(V72:Y72)=Y72,"Iron")</f>
        <v>Calcium</v>
      </c>
    </row>
    <row r="73" spans="1:26" x14ac:dyDescent="0.3">
      <c r="A73" t="s">
        <v>24</v>
      </c>
      <c r="B73" t="s">
        <v>42</v>
      </c>
      <c r="C73" t="s">
        <v>43</v>
      </c>
      <c r="D73">
        <v>470</v>
      </c>
      <c r="E73">
        <v>220</v>
      </c>
      <c r="F73" s="2">
        <f t="shared" si="1"/>
        <v>0.46808510638297873</v>
      </c>
      <c r="G73">
        <v>25</v>
      </c>
      <c r="H73">
        <v>38</v>
      </c>
      <c r="I73">
        <v>12</v>
      </c>
      <c r="J73">
        <v>59</v>
      </c>
      <c r="K73">
        <v>0</v>
      </c>
      <c r="L73">
        <v>35</v>
      </c>
      <c r="M73">
        <v>11</v>
      </c>
      <c r="N73">
        <v>1420</v>
      </c>
      <c r="O73">
        <v>59</v>
      </c>
      <c r="P73">
        <v>42</v>
      </c>
      <c r="Q73">
        <v>14</v>
      </c>
      <c r="R73">
        <v>3</v>
      </c>
      <c r="S73">
        <v>12</v>
      </c>
      <c r="T73">
        <v>4</v>
      </c>
      <c r="U73">
        <v>20</v>
      </c>
      <c r="V73">
        <v>6</v>
      </c>
      <c r="W73">
        <v>8</v>
      </c>
      <c r="X73">
        <v>15</v>
      </c>
      <c r="Y73">
        <v>15</v>
      </c>
      <c r="Z73" t="str" cm="1">
        <f t="array" ref="Z73">_xlfn.IFS(MAX(V73:Y73)=V73,"Vitamin A",MAX(V73:Y73)=W73,"Vitamin C",MAX(V73:Y73)=X73,"Calcium",MAX(V73:Y73)=Y73,"Iron")</f>
        <v>Calcium</v>
      </c>
    </row>
    <row r="74" spans="1:26" x14ac:dyDescent="0.3">
      <c r="A74" t="s">
        <v>24</v>
      </c>
      <c r="B74" t="s">
        <v>57</v>
      </c>
      <c r="C74" t="s">
        <v>58</v>
      </c>
      <c r="D74">
        <v>470</v>
      </c>
      <c r="E74">
        <v>220</v>
      </c>
      <c r="F74" s="2">
        <f t="shared" si="1"/>
        <v>0.46808510638297873</v>
      </c>
      <c r="G74">
        <v>24</v>
      </c>
      <c r="H74">
        <v>37</v>
      </c>
      <c r="I74">
        <v>9</v>
      </c>
      <c r="J74">
        <v>45</v>
      </c>
      <c r="K74">
        <v>0</v>
      </c>
      <c r="L74">
        <v>30</v>
      </c>
      <c r="M74">
        <v>10</v>
      </c>
      <c r="N74">
        <v>1290</v>
      </c>
      <c r="O74">
        <v>54</v>
      </c>
      <c r="P74">
        <v>46</v>
      </c>
      <c r="Q74">
        <v>15</v>
      </c>
      <c r="R74">
        <v>3</v>
      </c>
      <c r="S74">
        <v>11</v>
      </c>
      <c r="T74">
        <v>4</v>
      </c>
      <c r="U74">
        <v>17</v>
      </c>
      <c r="V74">
        <v>4</v>
      </c>
      <c r="W74">
        <v>2</v>
      </c>
      <c r="X74">
        <v>8</v>
      </c>
      <c r="Y74">
        <v>15</v>
      </c>
      <c r="Z74" t="str" cm="1">
        <f t="array" ref="Z74">_xlfn.IFS(MAX(V74:Y74)=V74,"Vitamin A",MAX(V74:Y74)=W74,"Vitamin C",MAX(V74:Y74)=X74,"Calcium",MAX(V74:Y74)=Y74,"Iron")</f>
        <v>Iron</v>
      </c>
    </row>
    <row r="75" spans="1:26" x14ac:dyDescent="0.3">
      <c r="A75" t="s">
        <v>414</v>
      </c>
      <c r="B75" t="s">
        <v>175</v>
      </c>
      <c r="C75" t="s">
        <v>176</v>
      </c>
      <c r="D75">
        <v>470</v>
      </c>
      <c r="E75">
        <v>270</v>
      </c>
      <c r="F75" s="2">
        <f t="shared" si="1"/>
        <v>0.57446808510638303</v>
      </c>
      <c r="G75">
        <v>30</v>
      </c>
      <c r="H75">
        <v>45</v>
      </c>
      <c r="I75">
        <v>5</v>
      </c>
      <c r="J75">
        <v>25</v>
      </c>
      <c r="K75">
        <v>0</v>
      </c>
      <c r="L75">
        <v>65</v>
      </c>
      <c r="M75">
        <v>22</v>
      </c>
      <c r="N75">
        <v>900</v>
      </c>
      <c r="O75">
        <v>37</v>
      </c>
      <c r="P75">
        <v>30</v>
      </c>
      <c r="Q75">
        <v>10</v>
      </c>
      <c r="R75">
        <v>2</v>
      </c>
      <c r="S75">
        <v>6</v>
      </c>
      <c r="T75">
        <v>0</v>
      </c>
      <c r="U75">
        <v>22</v>
      </c>
      <c r="V75">
        <v>0</v>
      </c>
      <c r="W75">
        <v>4</v>
      </c>
      <c r="X75">
        <v>2</v>
      </c>
      <c r="Y75">
        <v>6</v>
      </c>
      <c r="Z75" t="str" cm="1">
        <f t="array" ref="Z75">_xlfn.IFS(MAX(V75:Y75)=V75,"Vitamin A",MAX(V75:Y75)=W75,"Vitamin C",MAX(V75:Y75)=X75,"Calcium",MAX(V75:Y75)=Y75,"Iron")</f>
        <v>Iron</v>
      </c>
    </row>
    <row r="76" spans="1:26" x14ac:dyDescent="0.3">
      <c r="A76" t="s">
        <v>24</v>
      </c>
      <c r="B76" t="s">
        <v>36</v>
      </c>
      <c r="C76" t="s">
        <v>37</v>
      </c>
      <c r="D76">
        <v>460</v>
      </c>
      <c r="E76">
        <v>230</v>
      </c>
      <c r="F76" s="2">
        <f t="shared" si="1"/>
        <v>0.5</v>
      </c>
      <c r="G76">
        <v>26</v>
      </c>
      <c r="H76">
        <v>40</v>
      </c>
      <c r="I76">
        <v>13</v>
      </c>
      <c r="J76">
        <v>65</v>
      </c>
      <c r="K76">
        <v>0</v>
      </c>
      <c r="L76">
        <v>250</v>
      </c>
      <c r="M76">
        <v>83</v>
      </c>
      <c r="N76">
        <v>1300</v>
      </c>
      <c r="O76">
        <v>54</v>
      </c>
      <c r="P76">
        <v>38</v>
      </c>
      <c r="Q76">
        <v>13</v>
      </c>
      <c r="R76">
        <v>2</v>
      </c>
      <c r="S76">
        <v>7</v>
      </c>
      <c r="T76">
        <v>3</v>
      </c>
      <c r="U76">
        <v>19</v>
      </c>
      <c r="V76">
        <v>10</v>
      </c>
      <c r="W76">
        <v>8</v>
      </c>
      <c r="X76">
        <v>15</v>
      </c>
      <c r="Y76">
        <v>15</v>
      </c>
      <c r="Z76" t="str" cm="1">
        <f t="array" ref="Z76">_xlfn.IFS(MAX(V76:Y76)=V76,"Vitamin A",MAX(V76:Y76)=W76,"Vitamin C",MAX(V76:Y76)=X76,"Calcium",MAX(V76:Y76)=Y76,"Iron")</f>
        <v>Calcium</v>
      </c>
    </row>
    <row r="77" spans="1:26" x14ac:dyDescent="0.3">
      <c r="A77" t="s">
        <v>24</v>
      </c>
      <c r="B77" t="s">
        <v>52</v>
      </c>
      <c r="C77" t="s">
        <v>43</v>
      </c>
      <c r="D77">
        <v>460</v>
      </c>
      <c r="E77">
        <v>250</v>
      </c>
      <c r="F77" s="2">
        <f t="shared" si="1"/>
        <v>0.54347826086956519</v>
      </c>
      <c r="G77">
        <v>27</v>
      </c>
      <c r="H77">
        <v>42</v>
      </c>
      <c r="I77">
        <v>12</v>
      </c>
      <c r="J77">
        <v>62</v>
      </c>
      <c r="K77">
        <v>0</v>
      </c>
      <c r="L77">
        <v>35</v>
      </c>
      <c r="M77">
        <v>11</v>
      </c>
      <c r="N77">
        <v>1180</v>
      </c>
      <c r="O77">
        <v>49</v>
      </c>
      <c r="P77">
        <v>34</v>
      </c>
      <c r="Q77">
        <v>11</v>
      </c>
      <c r="R77">
        <v>2</v>
      </c>
      <c r="S77">
        <v>6</v>
      </c>
      <c r="T77">
        <v>3</v>
      </c>
      <c r="U77">
        <v>18</v>
      </c>
      <c r="V77">
        <v>0</v>
      </c>
      <c r="W77">
        <v>0</v>
      </c>
      <c r="X77">
        <v>8</v>
      </c>
      <c r="Y77">
        <v>15</v>
      </c>
      <c r="Z77" t="str" cm="1">
        <f t="array" ref="Z77">_xlfn.IFS(MAX(V77:Y77)=V77,"Vitamin A",MAX(V77:Y77)=W77,"Vitamin C",MAX(V77:Y77)=X77,"Calcium",MAX(V77:Y77)=Y77,"Iron")</f>
        <v>Iron</v>
      </c>
    </row>
    <row r="78" spans="1:26" x14ac:dyDescent="0.3">
      <c r="A78" t="s">
        <v>24</v>
      </c>
      <c r="B78" t="s">
        <v>61</v>
      </c>
      <c r="C78" t="s">
        <v>62</v>
      </c>
      <c r="D78">
        <v>460</v>
      </c>
      <c r="E78">
        <v>190</v>
      </c>
      <c r="F78" s="2">
        <f t="shared" si="1"/>
        <v>0.41304347826086957</v>
      </c>
      <c r="G78">
        <v>21</v>
      </c>
      <c r="H78">
        <v>32</v>
      </c>
      <c r="I78">
        <v>9</v>
      </c>
      <c r="J78">
        <v>44</v>
      </c>
      <c r="K78">
        <v>0</v>
      </c>
      <c r="L78">
        <v>250</v>
      </c>
      <c r="M78">
        <v>84</v>
      </c>
      <c r="N78">
        <v>1250</v>
      </c>
      <c r="O78">
        <v>52</v>
      </c>
      <c r="P78">
        <v>48</v>
      </c>
      <c r="Q78">
        <v>16</v>
      </c>
      <c r="R78">
        <v>2</v>
      </c>
      <c r="S78">
        <v>9</v>
      </c>
      <c r="T78">
        <v>15</v>
      </c>
      <c r="U78">
        <v>19</v>
      </c>
      <c r="V78">
        <v>10</v>
      </c>
      <c r="W78">
        <v>10</v>
      </c>
      <c r="X78">
        <v>20</v>
      </c>
      <c r="Y78">
        <v>15</v>
      </c>
      <c r="Z78" t="str" cm="1">
        <f t="array" ref="Z78">_xlfn.IFS(MAX(V78:Y78)=V78,"Vitamin A",MAX(V78:Y78)=W78,"Vitamin C",MAX(V78:Y78)=X78,"Calcium",MAX(V78:Y78)=Y78,"Iron")</f>
        <v>Calcium</v>
      </c>
    </row>
    <row r="79" spans="1:26" x14ac:dyDescent="0.3">
      <c r="A79" t="s">
        <v>24</v>
      </c>
      <c r="B79" t="s">
        <v>98</v>
      </c>
      <c r="C79" t="s">
        <v>99</v>
      </c>
      <c r="D79">
        <v>460</v>
      </c>
      <c r="E79">
        <v>170</v>
      </c>
      <c r="F79" s="2">
        <f t="shared" si="1"/>
        <v>0.36956521739130432</v>
      </c>
      <c r="G79">
        <v>19</v>
      </c>
      <c r="H79">
        <v>30</v>
      </c>
      <c r="I79">
        <v>9</v>
      </c>
      <c r="J79">
        <v>43</v>
      </c>
      <c r="K79">
        <v>0</v>
      </c>
      <c r="L79">
        <v>15</v>
      </c>
      <c r="M79">
        <v>5</v>
      </c>
      <c r="N79">
        <v>370</v>
      </c>
      <c r="O79">
        <v>15</v>
      </c>
      <c r="P79">
        <v>66</v>
      </c>
      <c r="Q79">
        <v>22</v>
      </c>
      <c r="R79">
        <v>3</v>
      </c>
      <c r="S79">
        <v>11</v>
      </c>
      <c r="T79">
        <v>32</v>
      </c>
      <c r="U79">
        <v>6</v>
      </c>
      <c r="V79">
        <v>4</v>
      </c>
      <c r="W79">
        <v>0</v>
      </c>
      <c r="X79">
        <v>6</v>
      </c>
      <c r="Y79">
        <v>15</v>
      </c>
      <c r="Z79" t="str" cm="1">
        <f t="array" ref="Z79">_xlfn.IFS(MAX(V79:Y79)=V79,"Vitamin A",MAX(V79:Y79)=W79,"Vitamin C",MAX(V79:Y79)=X79,"Calcium",MAX(V79:Y79)=Y79,"Iron")</f>
        <v>Iron</v>
      </c>
    </row>
    <row r="80" spans="1:26" x14ac:dyDescent="0.3">
      <c r="A80" t="s">
        <v>416</v>
      </c>
      <c r="B80" t="s">
        <v>353</v>
      </c>
      <c r="C80" t="s">
        <v>265</v>
      </c>
      <c r="D80">
        <v>460</v>
      </c>
      <c r="E80">
        <v>150</v>
      </c>
      <c r="F80" s="2">
        <f t="shared" si="1"/>
        <v>0.32608695652173914</v>
      </c>
      <c r="G80">
        <v>16</v>
      </c>
      <c r="H80">
        <v>25</v>
      </c>
      <c r="I80">
        <v>10</v>
      </c>
      <c r="J80">
        <v>48</v>
      </c>
      <c r="K80">
        <v>0.5</v>
      </c>
      <c r="L80">
        <v>50</v>
      </c>
      <c r="M80">
        <v>17</v>
      </c>
      <c r="N80">
        <v>250</v>
      </c>
      <c r="O80">
        <v>10</v>
      </c>
      <c r="P80">
        <v>65</v>
      </c>
      <c r="Q80">
        <v>22</v>
      </c>
      <c r="R80">
        <v>1</v>
      </c>
      <c r="S80">
        <v>3</v>
      </c>
      <c r="T80">
        <v>59</v>
      </c>
      <c r="U80">
        <v>13</v>
      </c>
      <c r="V80">
        <v>15</v>
      </c>
      <c r="W80">
        <v>0</v>
      </c>
      <c r="X80">
        <v>40</v>
      </c>
      <c r="Y80">
        <v>4</v>
      </c>
      <c r="Z80" t="str" cm="1">
        <f t="array" ref="Z80">_xlfn.IFS(MAX(V80:Y80)=V80,"Vitamin A",MAX(V80:Y80)=W80,"Vitamin C",MAX(V80:Y80)=X80,"Calcium",MAX(V80:Y80)=Y80,"Iron")</f>
        <v>Calcium</v>
      </c>
    </row>
    <row r="81" spans="1:26" x14ac:dyDescent="0.3">
      <c r="A81" t="s">
        <v>24</v>
      </c>
      <c r="B81" t="s">
        <v>31</v>
      </c>
      <c r="C81" t="s">
        <v>32</v>
      </c>
      <c r="D81">
        <v>450</v>
      </c>
      <c r="E81">
        <v>250</v>
      </c>
      <c r="F81" s="2">
        <f t="shared" si="1"/>
        <v>0.55555555555555558</v>
      </c>
      <c r="G81">
        <v>28</v>
      </c>
      <c r="H81">
        <v>43</v>
      </c>
      <c r="I81">
        <v>10</v>
      </c>
      <c r="J81">
        <v>52</v>
      </c>
      <c r="K81">
        <v>0</v>
      </c>
      <c r="L81">
        <v>285</v>
      </c>
      <c r="M81">
        <v>95</v>
      </c>
      <c r="N81">
        <v>860</v>
      </c>
      <c r="O81">
        <v>36</v>
      </c>
      <c r="P81">
        <v>30</v>
      </c>
      <c r="Q81">
        <v>10</v>
      </c>
      <c r="R81">
        <v>4</v>
      </c>
      <c r="S81">
        <v>17</v>
      </c>
      <c r="T81">
        <v>2</v>
      </c>
      <c r="U81">
        <v>21</v>
      </c>
      <c r="V81">
        <v>15</v>
      </c>
      <c r="W81">
        <v>0</v>
      </c>
      <c r="X81">
        <v>30</v>
      </c>
      <c r="Y81">
        <v>15</v>
      </c>
      <c r="Z81" t="str" cm="1">
        <f t="array" ref="Z81">_xlfn.IFS(MAX(V81:Y81)=V81,"Vitamin A",MAX(V81:Y81)=W81,"Vitamin C",MAX(V81:Y81)=X81,"Calcium",MAX(V81:Y81)=Y81,"Iron")</f>
        <v>Calcium</v>
      </c>
    </row>
    <row r="82" spans="1:26" x14ac:dyDescent="0.3">
      <c r="A82" t="s">
        <v>414</v>
      </c>
      <c r="B82" t="s">
        <v>141</v>
      </c>
      <c r="C82" t="s">
        <v>142</v>
      </c>
      <c r="D82">
        <v>450</v>
      </c>
      <c r="E82">
        <v>130</v>
      </c>
      <c r="F82" s="2">
        <f t="shared" si="1"/>
        <v>0.28888888888888886</v>
      </c>
      <c r="G82">
        <v>15</v>
      </c>
      <c r="H82">
        <v>23</v>
      </c>
      <c r="I82">
        <v>4.5</v>
      </c>
      <c r="J82">
        <v>22</v>
      </c>
      <c r="K82">
        <v>0</v>
      </c>
      <c r="L82">
        <v>90</v>
      </c>
      <c r="M82">
        <v>30</v>
      </c>
      <c r="N82">
        <v>1230</v>
      </c>
      <c r="O82">
        <v>51</v>
      </c>
      <c r="P82">
        <v>43</v>
      </c>
      <c r="Q82">
        <v>14</v>
      </c>
      <c r="R82">
        <v>3</v>
      </c>
      <c r="S82">
        <v>13</v>
      </c>
      <c r="T82">
        <v>9</v>
      </c>
      <c r="U82">
        <v>36</v>
      </c>
      <c r="V82">
        <v>4</v>
      </c>
      <c r="W82">
        <v>20</v>
      </c>
      <c r="X82">
        <v>15</v>
      </c>
      <c r="Y82">
        <v>20</v>
      </c>
      <c r="Z82" t="str" cm="1">
        <f t="array" ref="Z82">_xlfn.IFS(MAX(V82:Y82)=V82,"Vitamin A",MAX(V82:Y82)=W82,"Vitamin C",MAX(V82:Y82)=X82,"Calcium",MAX(V82:Y82)=Y82,"Iron")</f>
        <v>Vitamin C</v>
      </c>
    </row>
    <row r="83" spans="1:26" x14ac:dyDescent="0.3">
      <c r="A83" t="s">
        <v>414</v>
      </c>
      <c r="B83" t="s">
        <v>161</v>
      </c>
      <c r="C83" t="s">
        <v>162</v>
      </c>
      <c r="D83">
        <v>450</v>
      </c>
      <c r="E83">
        <v>160</v>
      </c>
      <c r="F83" s="2">
        <f t="shared" si="1"/>
        <v>0.35555555555555557</v>
      </c>
      <c r="G83">
        <v>18</v>
      </c>
      <c r="H83">
        <v>27</v>
      </c>
      <c r="I83">
        <v>6</v>
      </c>
      <c r="J83">
        <v>31</v>
      </c>
      <c r="K83">
        <v>0.5</v>
      </c>
      <c r="L83">
        <v>80</v>
      </c>
      <c r="M83">
        <v>27</v>
      </c>
      <c r="N83">
        <v>1170</v>
      </c>
      <c r="O83">
        <v>49</v>
      </c>
      <c r="P83">
        <v>42</v>
      </c>
      <c r="Q83">
        <v>14</v>
      </c>
      <c r="R83">
        <v>3</v>
      </c>
      <c r="S83">
        <v>14</v>
      </c>
      <c r="T83">
        <v>6</v>
      </c>
      <c r="U83">
        <v>30</v>
      </c>
      <c r="V83">
        <v>60</v>
      </c>
      <c r="W83">
        <v>15</v>
      </c>
      <c r="X83">
        <v>15</v>
      </c>
      <c r="Y83">
        <v>20</v>
      </c>
      <c r="Z83" t="str" cm="1">
        <f t="array" ref="Z83">_xlfn.IFS(MAX(V83:Y83)=V83,"Vitamin A",MAX(V83:Y83)=W83,"Vitamin C",MAX(V83:Y83)=X83,"Calcium",MAX(V83:Y83)=Y83,"Iron")</f>
        <v>Vitamin A</v>
      </c>
    </row>
    <row r="84" spans="1:26" x14ac:dyDescent="0.3">
      <c r="A84" t="s">
        <v>183</v>
      </c>
      <c r="B84" t="s">
        <v>190</v>
      </c>
      <c r="C84" t="s">
        <v>191</v>
      </c>
      <c r="D84">
        <v>450</v>
      </c>
      <c r="E84">
        <v>190</v>
      </c>
      <c r="F84" s="2">
        <f t="shared" si="1"/>
        <v>0.42222222222222222</v>
      </c>
      <c r="G84">
        <v>22</v>
      </c>
      <c r="H84">
        <v>33</v>
      </c>
      <c r="I84">
        <v>4.5</v>
      </c>
      <c r="J84">
        <v>22</v>
      </c>
      <c r="K84">
        <v>0</v>
      </c>
      <c r="L84">
        <v>50</v>
      </c>
      <c r="M84">
        <v>17</v>
      </c>
      <c r="N84">
        <v>850</v>
      </c>
      <c r="O84">
        <v>35</v>
      </c>
      <c r="P84">
        <v>42</v>
      </c>
      <c r="Q84">
        <v>14</v>
      </c>
      <c r="R84">
        <v>7</v>
      </c>
      <c r="S84">
        <v>28</v>
      </c>
      <c r="T84">
        <v>12</v>
      </c>
      <c r="U84">
        <v>23</v>
      </c>
      <c r="V84">
        <v>170</v>
      </c>
      <c r="W84">
        <v>30</v>
      </c>
      <c r="X84">
        <v>15</v>
      </c>
      <c r="Y84">
        <v>15</v>
      </c>
      <c r="Z84" t="str" cm="1">
        <f t="array" ref="Z84">_xlfn.IFS(MAX(V84:Y84)=V84,"Vitamin A",MAX(V84:Y84)=W84,"Vitamin C",MAX(V84:Y84)=X84,"Calcium",MAX(V84:Y84)=Y84,"Iron")</f>
        <v>Vitamin A</v>
      </c>
    </row>
    <row r="85" spans="1:26" x14ac:dyDescent="0.3">
      <c r="A85" t="s">
        <v>416</v>
      </c>
      <c r="B85" t="s">
        <v>357</v>
      </c>
      <c r="C85" t="s">
        <v>240</v>
      </c>
      <c r="D85">
        <v>450</v>
      </c>
      <c r="E85">
        <v>160</v>
      </c>
      <c r="F85" s="2">
        <f t="shared" si="1"/>
        <v>0.35555555555555557</v>
      </c>
      <c r="G85">
        <v>18</v>
      </c>
      <c r="H85">
        <v>28</v>
      </c>
      <c r="I85">
        <v>12</v>
      </c>
      <c r="J85">
        <v>59</v>
      </c>
      <c r="K85">
        <v>1</v>
      </c>
      <c r="L85">
        <v>65</v>
      </c>
      <c r="M85">
        <v>21</v>
      </c>
      <c r="N85">
        <v>125</v>
      </c>
      <c r="O85">
        <v>5</v>
      </c>
      <c r="P85">
        <v>65</v>
      </c>
      <c r="Q85">
        <v>22</v>
      </c>
      <c r="R85">
        <v>1</v>
      </c>
      <c r="S85">
        <v>3</v>
      </c>
      <c r="T85">
        <v>57</v>
      </c>
      <c r="U85">
        <v>7</v>
      </c>
      <c r="V85">
        <v>15</v>
      </c>
      <c r="W85">
        <v>0</v>
      </c>
      <c r="X85">
        <v>20</v>
      </c>
      <c r="Y85">
        <v>4</v>
      </c>
      <c r="Z85" t="str" cm="1">
        <f t="array" ref="Z85">_xlfn.IFS(MAX(V85:Y85)=V85,"Vitamin A",MAX(V85:Y85)=W85,"Vitamin C",MAX(V85:Y85)=X85,"Calcium",MAX(V85:Y85)=Y85,"Iron")</f>
        <v>Calcium</v>
      </c>
    </row>
    <row r="86" spans="1:26" x14ac:dyDescent="0.3">
      <c r="A86" t="s">
        <v>416</v>
      </c>
      <c r="B86" t="s">
        <v>360</v>
      </c>
      <c r="C86" t="s">
        <v>240</v>
      </c>
      <c r="D86">
        <v>450</v>
      </c>
      <c r="E86">
        <v>170</v>
      </c>
      <c r="F86" s="2">
        <f t="shared" si="1"/>
        <v>0.37777777777777777</v>
      </c>
      <c r="G86">
        <v>19</v>
      </c>
      <c r="H86">
        <v>29</v>
      </c>
      <c r="I86">
        <v>12</v>
      </c>
      <c r="J86">
        <v>60</v>
      </c>
      <c r="K86">
        <v>1</v>
      </c>
      <c r="L86">
        <v>65</v>
      </c>
      <c r="M86">
        <v>22</v>
      </c>
      <c r="N86">
        <v>125</v>
      </c>
      <c r="O86">
        <v>5</v>
      </c>
      <c r="P86">
        <v>64</v>
      </c>
      <c r="Q86">
        <v>21</v>
      </c>
      <c r="R86">
        <v>0</v>
      </c>
      <c r="S86">
        <v>0</v>
      </c>
      <c r="T86">
        <v>57</v>
      </c>
      <c r="U86">
        <v>7</v>
      </c>
      <c r="V86">
        <v>15</v>
      </c>
      <c r="W86">
        <v>0</v>
      </c>
      <c r="X86">
        <v>25</v>
      </c>
      <c r="Y86">
        <v>2</v>
      </c>
      <c r="Z86" t="str" cm="1">
        <f t="array" ref="Z86">_xlfn.IFS(MAX(V86:Y86)=V86,"Vitamin A",MAX(V86:Y86)=W86,"Vitamin C",MAX(V86:Y86)=X86,"Calcium",MAX(V86:Y86)=Y86,"Iron")</f>
        <v>Calcium</v>
      </c>
    </row>
    <row r="87" spans="1:26" x14ac:dyDescent="0.3">
      <c r="A87" t="s">
        <v>413</v>
      </c>
      <c r="B87" t="s">
        <v>124</v>
      </c>
      <c r="C87" t="s">
        <v>32</v>
      </c>
      <c r="D87">
        <v>440</v>
      </c>
      <c r="E87">
        <v>200</v>
      </c>
      <c r="F87" s="2">
        <f t="shared" si="1"/>
        <v>0.45454545454545453</v>
      </c>
      <c r="G87">
        <v>22</v>
      </c>
      <c r="H87">
        <v>34</v>
      </c>
      <c r="I87">
        <v>10</v>
      </c>
      <c r="J87">
        <v>49</v>
      </c>
      <c r="K87">
        <v>1</v>
      </c>
      <c r="L87">
        <v>90</v>
      </c>
      <c r="M87">
        <v>30</v>
      </c>
      <c r="N87">
        <v>1110</v>
      </c>
      <c r="O87">
        <v>46</v>
      </c>
      <c r="P87">
        <v>35</v>
      </c>
      <c r="Q87">
        <v>12</v>
      </c>
      <c r="R87">
        <v>2</v>
      </c>
      <c r="S87">
        <v>7</v>
      </c>
      <c r="T87">
        <v>7</v>
      </c>
      <c r="U87">
        <v>27</v>
      </c>
      <c r="V87">
        <v>6</v>
      </c>
      <c r="W87">
        <v>10</v>
      </c>
      <c r="X87">
        <v>20</v>
      </c>
      <c r="Y87">
        <v>20</v>
      </c>
      <c r="Z87" t="str" cm="1">
        <f t="array" ref="Z87">_xlfn.IFS(MAX(V87:Y87)=V87,"Vitamin A",MAX(V87:Y87)=W87,"Vitamin C",MAX(V87:Y87)=X87,"Calcium",MAX(V87:Y87)=Y87,"Iron")</f>
        <v>Calcium</v>
      </c>
    </row>
    <row r="88" spans="1:26" x14ac:dyDescent="0.3">
      <c r="A88" t="s">
        <v>416</v>
      </c>
      <c r="B88" t="s">
        <v>324</v>
      </c>
      <c r="C88" t="s">
        <v>234</v>
      </c>
      <c r="D88">
        <v>440</v>
      </c>
      <c r="E88">
        <v>140</v>
      </c>
      <c r="F88" s="2">
        <f t="shared" si="1"/>
        <v>0.31818181818181818</v>
      </c>
      <c r="G88">
        <v>16</v>
      </c>
      <c r="H88">
        <v>25</v>
      </c>
      <c r="I88">
        <v>9</v>
      </c>
      <c r="J88">
        <v>47</v>
      </c>
      <c r="K88">
        <v>0.5</v>
      </c>
      <c r="L88">
        <v>50</v>
      </c>
      <c r="M88">
        <v>16</v>
      </c>
      <c r="N88">
        <v>220</v>
      </c>
      <c r="O88">
        <v>9</v>
      </c>
      <c r="P88">
        <v>61</v>
      </c>
      <c r="Q88">
        <v>20</v>
      </c>
      <c r="R88">
        <v>1</v>
      </c>
      <c r="S88">
        <v>4</v>
      </c>
      <c r="T88">
        <v>56</v>
      </c>
      <c r="U88">
        <v>14</v>
      </c>
      <c r="V88">
        <v>15</v>
      </c>
      <c r="W88">
        <v>0</v>
      </c>
      <c r="X88">
        <v>45</v>
      </c>
      <c r="Y88">
        <v>6</v>
      </c>
      <c r="Z88" t="str" cm="1">
        <f t="array" ref="Z88">_xlfn.IFS(MAX(V88:Y88)=V88,"Vitamin A",MAX(V88:Y88)=W88,"Vitamin C",MAX(V88:Y88)=X88,"Calcium",MAX(V88:Y88)=Y88,"Iron")</f>
        <v>Calcium</v>
      </c>
    </row>
    <row r="89" spans="1:26" x14ac:dyDescent="0.3">
      <c r="A89" t="s">
        <v>24</v>
      </c>
      <c r="B89" t="s">
        <v>34</v>
      </c>
      <c r="C89" t="s">
        <v>35</v>
      </c>
      <c r="D89">
        <v>430</v>
      </c>
      <c r="E89">
        <v>210</v>
      </c>
      <c r="F89" s="2">
        <f t="shared" si="1"/>
        <v>0.48837209302325579</v>
      </c>
      <c r="G89">
        <v>23</v>
      </c>
      <c r="H89">
        <v>36</v>
      </c>
      <c r="I89">
        <v>9</v>
      </c>
      <c r="J89">
        <v>46</v>
      </c>
      <c r="K89">
        <v>1</v>
      </c>
      <c r="L89">
        <v>300</v>
      </c>
      <c r="M89">
        <v>100</v>
      </c>
      <c r="N89">
        <v>960</v>
      </c>
      <c r="O89">
        <v>40</v>
      </c>
      <c r="P89">
        <v>31</v>
      </c>
      <c r="Q89">
        <v>10</v>
      </c>
      <c r="R89">
        <v>4</v>
      </c>
      <c r="S89">
        <v>18</v>
      </c>
      <c r="T89">
        <v>3</v>
      </c>
      <c r="U89">
        <v>26</v>
      </c>
      <c r="V89">
        <v>15</v>
      </c>
      <c r="W89">
        <v>2</v>
      </c>
      <c r="X89">
        <v>30</v>
      </c>
      <c r="Y89">
        <v>20</v>
      </c>
      <c r="Z89" t="str" cm="1">
        <f t="array" ref="Z89">_xlfn.IFS(MAX(V89:Y89)=V89,"Vitamin A",MAX(V89:Y89)=W89,"Vitamin C",MAX(V89:Y89)=X89,"Calcium",MAX(V89:Y89)=Y89,"Iron")</f>
        <v>Calcium</v>
      </c>
    </row>
    <row r="90" spans="1:26" x14ac:dyDescent="0.3">
      <c r="A90" t="s">
        <v>24</v>
      </c>
      <c r="B90" t="s">
        <v>44</v>
      </c>
      <c r="C90" t="s">
        <v>45</v>
      </c>
      <c r="D90">
        <v>430</v>
      </c>
      <c r="E90">
        <v>240</v>
      </c>
      <c r="F90" s="2">
        <f t="shared" si="1"/>
        <v>0.55813953488372092</v>
      </c>
      <c r="G90">
        <v>27</v>
      </c>
      <c r="H90">
        <v>42</v>
      </c>
      <c r="I90">
        <v>12</v>
      </c>
      <c r="J90">
        <v>62</v>
      </c>
      <c r="K90">
        <v>0</v>
      </c>
      <c r="L90">
        <v>30</v>
      </c>
      <c r="M90">
        <v>10</v>
      </c>
      <c r="N90">
        <v>1080</v>
      </c>
      <c r="O90">
        <v>45</v>
      </c>
      <c r="P90">
        <v>34</v>
      </c>
      <c r="Q90">
        <v>11</v>
      </c>
      <c r="R90">
        <v>2</v>
      </c>
      <c r="S90">
        <v>6</v>
      </c>
      <c r="T90">
        <v>2</v>
      </c>
      <c r="U90">
        <v>11</v>
      </c>
      <c r="V90">
        <v>0</v>
      </c>
      <c r="W90">
        <v>0</v>
      </c>
      <c r="X90">
        <v>6</v>
      </c>
      <c r="Y90">
        <v>15</v>
      </c>
      <c r="Z90" t="str" cm="1">
        <f t="array" ref="Z90">_xlfn.IFS(MAX(V90:Y90)=V90,"Vitamin A",MAX(V90:Y90)=W90,"Vitamin C",MAX(V90:Y90)=X90,"Calcium",MAX(V90:Y90)=Y90,"Iron")</f>
        <v>Iron</v>
      </c>
    </row>
    <row r="91" spans="1:26" x14ac:dyDescent="0.3">
      <c r="A91" t="s">
        <v>413</v>
      </c>
      <c r="B91" t="s">
        <v>119</v>
      </c>
      <c r="C91" t="s">
        <v>32</v>
      </c>
      <c r="D91">
        <v>430</v>
      </c>
      <c r="E91">
        <v>190</v>
      </c>
      <c r="F91" s="2">
        <f t="shared" si="1"/>
        <v>0.44186046511627908</v>
      </c>
      <c r="G91">
        <v>21</v>
      </c>
      <c r="H91">
        <v>32</v>
      </c>
      <c r="I91">
        <v>10</v>
      </c>
      <c r="J91">
        <v>52</v>
      </c>
      <c r="K91">
        <v>1</v>
      </c>
      <c r="L91">
        <v>90</v>
      </c>
      <c r="M91">
        <v>30</v>
      </c>
      <c r="N91">
        <v>1040</v>
      </c>
      <c r="O91">
        <v>43</v>
      </c>
      <c r="P91">
        <v>35</v>
      </c>
      <c r="Q91">
        <v>12</v>
      </c>
      <c r="R91">
        <v>2</v>
      </c>
      <c r="S91">
        <v>8</v>
      </c>
      <c r="T91">
        <v>7</v>
      </c>
      <c r="U91">
        <v>24</v>
      </c>
      <c r="V91">
        <v>10</v>
      </c>
      <c r="W91">
        <v>2</v>
      </c>
      <c r="X91">
        <v>30</v>
      </c>
      <c r="Y91">
        <v>20</v>
      </c>
      <c r="Z91" t="str" cm="1">
        <f t="array" ref="Z91">_xlfn.IFS(MAX(V91:Y91)=V91,"Vitamin A",MAX(V91:Y91)=W91,"Vitamin C",MAX(V91:Y91)=X91,"Calcium",MAX(V91:Y91)=Y91,"Iron")</f>
        <v>Calcium</v>
      </c>
    </row>
    <row r="92" spans="1:26" x14ac:dyDescent="0.3">
      <c r="A92" t="s">
        <v>413</v>
      </c>
      <c r="B92" t="s">
        <v>125</v>
      </c>
      <c r="C92" t="s">
        <v>126</v>
      </c>
      <c r="D92">
        <v>430</v>
      </c>
      <c r="E92">
        <v>200</v>
      </c>
      <c r="F92" s="2">
        <f t="shared" si="1"/>
        <v>0.46511627906976744</v>
      </c>
      <c r="G92">
        <v>22</v>
      </c>
      <c r="H92">
        <v>35</v>
      </c>
      <c r="I92">
        <v>9</v>
      </c>
      <c r="J92">
        <v>44</v>
      </c>
      <c r="K92">
        <v>1</v>
      </c>
      <c r="L92">
        <v>80</v>
      </c>
      <c r="M92">
        <v>27</v>
      </c>
      <c r="N92">
        <v>760</v>
      </c>
      <c r="O92">
        <v>32</v>
      </c>
      <c r="P92">
        <v>34</v>
      </c>
      <c r="Q92">
        <v>11</v>
      </c>
      <c r="R92">
        <v>2</v>
      </c>
      <c r="S92">
        <v>8</v>
      </c>
      <c r="T92">
        <v>7</v>
      </c>
      <c r="U92">
        <v>22</v>
      </c>
      <c r="V92">
        <v>8</v>
      </c>
      <c r="W92">
        <v>8</v>
      </c>
      <c r="X92">
        <v>20</v>
      </c>
      <c r="Y92">
        <v>20</v>
      </c>
      <c r="Z92" t="str" cm="1">
        <f t="array" ref="Z92">_xlfn.IFS(MAX(V92:Y92)=V92,"Vitamin A",MAX(V92:Y92)=W92,"Vitamin C",MAX(V92:Y92)=X92,"Calcium",MAX(V92:Y92)=Y92,"Iron")</f>
        <v>Calcium</v>
      </c>
    </row>
    <row r="93" spans="1:26" x14ac:dyDescent="0.3">
      <c r="A93" t="s">
        <v>413</v>
      </c>
      <c r="B93" t="s">
        <v>127</v>
      </c>
      <c r="C93" t="s">
        <v>128</v>
      </c>
      <c r="D93">
        <v>430</v>
      </c>
      <c r="E93">
        <v>210</v>
      </c>
      <c r="F93" s="2">
        <f t="shared" si="1"/>
        <v>0.48837209302325579</v>
      </c>
      <c r="G93">
        <v>23</v>
      </c>
      <c r="H93">
        <v>36</v>
      </c>
      <c r="I93">
        <v>9</v>
      </c>
      <c r="J93">
        <v>44</v>
      </c>
      <c r="K93">
        <v>1</v>
      </c>
      <c r="L93">
        <v>80</v>
      </c>
      <c r="M93">
        <v>27</v>
      </c>
      <c r="N93">
        <v>1030</v>
      </c>
      <c r="O93">
        <v>43</v>
      </c>
      <c r="P93">
        <v>35</v>
      </c>
      <c r="Q93">
        <v>12</v>
      </c>
      <c r="R93">
        <v>2</v>
      </c>
      <c r="S93">
        <v>7</v>
      </c>
      <c r="T93">
        <v>6</v>
      </c>
      <c r="U93">
        <v>22</v>
      </c>
      <c r="V93">
        <v>6</v>
      </c>
      <c r="W93">
        <v>8</v>
      </c>
      <c r="X93">
        <v>20</v>
      </c>
      <c r="Y93">
        <v>20</v>
      </c>
      <c r="Z93" t="str" cm="1">
        <f t="array" ref="Z93">_xlfn.IFS(MAX(V93:Y93)=V93,"Vitamin A",MAX(V93:Y93)=W93,"Vitamin C",MAX(V93:Y93)=X93,"Calcium",MAX(V93:Y93)=Y93,"Iron")</f>
        <v>Calcium</v>
      </c>
    </row>
    <row r="94" spans="1:26" x14ac:dyDescent="0.3">
      <c r="A94" t="s">
        <v>414</v>
      </c>
      <c r="B94" t="s">
        <v>146</v>
      </c>
      <c r="C94" t="s">
        <v>147</v>
      </c>
      <c r="D94">
        <v>430</v>
      </c>
      <c r="E94">
        <v>170</v>
      </c>
      <c r="F94" s="2">
        <f t="shared" si="1"/>
        <v>0.39534883720930231</v>
      </c>
      <c r="G94">
        <v>19</v>
      </c>
      <c r="H94">
        <v>29</v>
      </c>
      <c r="I94">
        <v>3</v>
      </c>
      <c r="J94">
        <v>15</v>
      </c>
      <c r="K94">
        <v>0</v>
      </c>
      <c r="L94">
        <v>45</v>
      </c>
      <c r="M94">
        <v>14</v>
      </c>
      <c r="N94">
        <v>910</v>
      </c>
      <c r="O94">
        <v>38</v>
      </c>
      <c r="P94">
        <v>43</v>
      </c>
      <c r="Q94">
        <v>14</v>
      </c>
      <c r="R94">
        <v>2</v>
      </c>
      <c r="S94">
        <v>7</v>
      </c>
      <c r="T94">
        <v>7</v>
      </c>
      <c r="U94">
        <v>21</v>
      </c>
      <c r="V94">
        <v>4</v>
      </c>
      <c r="W94">
        <v>2</v>
      </c>
      <c r="X94">
        <v>15</v>
      </c>
      <c r="Y94">
        <v>15</v>
      </c>
      <c r="Z94" t="str" cm="1">
        <f t="array" ref="Z94">_xlfn.IFS(MAX(V94:Y94)=V94,"Vitamin A",MAX(V94:Y94)=W94,"Vitamin C",MAX(V94:Y94)=X94,"Calcium",MAX(V94:Y94)=Y94,"Iron")</f>
        <v>Calcium</v>
      </c>
    </row>
    <row r="95" spans="1:26" x14ac:dyDescent="0.3">
      <c r="A95" t="s">
        <v>414</v>
      </c>
      <c r="B95" t="s">
        <v>152</v>
      </c>
      <c r="C95" t="s">
        <v>32</v>
      </c>
      <c r="D95">
        <v>430</v>
      </c>
      <c r="E95">
        <v>190</v>
      </c>
      <c r="F95" s="2">
        <f t="shared" si="1"/>
        <v>0.44186046511627908</v>
      </c>
      <c r="G95">
        <v>21</v>
      </c>
      <c r="H95">
        <v>32</v>
      </c>
      <c r="I95">
        <v>5</v>
      </c>
      <c r="J95">
        <v>25</v>
      </c>
      <c r="K95">
        <v>0</v>
      </c>
      <c r="L95">
        <v>50</v>
      </c>
      <c r="M95">
        <v>17</v>
      </c>
      <c r="N95">
        <v>1260</v>
      </c>
      <c r="O95">
        <v>53</v>
      </c>
      <c r="P95">
        <v>41</v>
      </c>
      <c r="Q95">
        <v>14</v>
      </c>
      <c r="R95">
        <v>2</v>
      </c>
      <c r="S95">
        <v>7</v>
      </c>
      <c r="T95">
        <v>6</v>
      </c>
      <c r="U95">
        <v>20</v>
      </c>
      <c r="V95">
        <v>2</v>
      </c>
      <c r="W95">
        <v>10</v>
      </c>
      <c r="X95">
        <v>15</v>
      </c>
      <c r="Y95">
        <v>15</v>
      </c>
      <c r="Z95" t="str" cm="1">
        <f t="array" ref="Z95">_xlfn.IFS(MAX(V95:Y95)=V95,"Vitamin A",MAX(V95:Y95)=W95,"Vitamin C",MAX(V95:Y95)=X95,"Calcium",MAX(V95:Y95)=Y95,"Iron")</f>
        <v>Calcium</v>
      </c>
    </row>
    <row r="96" spans="1:26" x14ac:dyDescent="0.3">
      <c r="A96" t="s">
        <v>416</v>
      </c>
      <c r="B96" t="s">
        <v>286</v>
      </c>
      <c r="C96" t="s">
        <v>283</v>
      </c>
      <c r="D96">
        <v>430</v>
      </c>
      <c r="E96">
        <v>120</v>
      </c>
      <c r="F96" s="2">
        <f t="shared" si="1"/>
        <v>0.27906976744186046</v>
      </c>
      <c r="G96">
        <v>14</v>
      </c>
      <c r="H96">
        <v>21</v>
      </c>
      <c r="I96">
        <v>8</v>
      </c>
      <c r="J96">
        <v>39</v>
      </c>
      <c r="K96">
        <v>0</v>
      </c>
      <c r="L96">
        <v>40</v>
      </c>
      <c r="M96">
        <v>14</v>
      </c>
      <c r="N96">
        <v>180</v>
      </c>
      <c r="O96">
        <v>8</v>
      </c>
      <c r="P96">
        <v>62</v>
      </c>
      <c r="Q96">
        <v>21</v>
      </c>
      <c r="R96">
        <v>1</v>
      </c>
      <c r="S96">
        <v>6</v>
      </c>
      <c r="T96">
        <v>59</v>
      </c>
      <c r="U96">
        <v>15</v>
      </c>
      <c r="V96">
        <v>15</v>
      </c>
      <c r="W96">
        <v>0</v>
      </c>
      <c r="X96">
        <v>50</v>
      </c>
      <c r="Y96">
        <v>2</v>
      </c>
      <c r="Z96" t="str" cm="1">
        <f t="array" ref="Z96">_xlfn.IFS(MAX(V96:Y96)=V96,"Vitamin A",MAX(V96:Y96)=W96,"Vitamin C",MAX(V96:Y96)=X96,"Calcium",MAX(V96:Y96)=Y96,"Iron")</f>
        <v>Calcium</v>
      </c>
    </row>
    <row r="97" spans="1:26" x14ac:dyDescent="0.3">
      <c r="A97" t="s">
        <v>416</v>
      </c>
      <c r="B97" t="s">
        <v>289</v>
      </c>
      <c r="C97" t="s">
        <v>283</v>
      </c>
      <c r="D97">
        <v>430</v>
      </c>
      <c r="E97">
        <v>120</v>
      </c>
      <c r="F97" s="2">
        <f t="shared" si="1"/>
        <v>0.27906976744186046</v>
      </c>
      <c r="G97">
        <v>14</v>
      </c>
      <c r="H97">
        <v>21</v>
      </c>
      <c r="I97">
        <v>8</v>
      </c>
      <c r="J97">
        <v>39</v>
      </c>
      <c r="K97">
        <v>0</v>
      </c>
      <c r="L97">
        <v>40</v>
      </c>
      <c r="M97">
        <v>14</v>
      </c>
      <c r="N97">
        <v>180</v>
      </c>
      <c r="O97">
        <v>8</v>
      </c>
      <c r="P97">
        <v>62</v>
      </c>
      <c r="Q97">
        <v>21</v>
      </c>
      <c r="R97">
        <v>1</v>
      </c>
      <c r="S97">
        <v>6</v>
      </c>
      <c r="T97">
        <v>58</v>
      </c>
      <c r="U97">
        <v>15</v>
      </c>
      <c r="V97">
        <v>15</v>
      </c>
      <c r="W97">
        <v>0</v>
      </c>
      <c r="X97">
        <v>50</v>
      </c>
      <c r="Y97">
        <v>2</v>
      </c>
      <c r="Z97" t="str" cm="1">
        <f t="array" ref="Z97">_xlfn.IFS(MAX(V97:Y97)=V97,"Vitamin A",MAX(V97:Y97)=W97,"Vitamin C",MAX(V97:Y97)=X97,"Calcium",MAX(V97:Y97)=Y97,"Iron")</f>
        <v>Calcium</v>
      </c>
    </row>
    <row r="98" spans="1:26" x14ac:dyDescent="0.3">
      <c r="A98" t="s">
        <v>415</v>
      </c>
      <c r="B98" t="s">
        <v>390</v>
      </c>
      <c r="C98" t="s">
        <v>391</v>
      </c>
      <c r="D98">
        <v>430</v>
      </c>
      <c r="E98">
        <v>140</v>
      </c>
      <c r="F98" s="2">
        <f t="shared" si="1"/>
        <v>0.32558139534883723</v>
      </c>
      <c r="G98">
        <v>15</v>
      </c>
      <c r="H98">
        <v>24</v>
      </c>
      <c r="I98">
        <v>10</v>
      </c>
      <c r="J98">
        <v>48</v>
      </c>
      <c r="K98">
        <v>0</v>
      </c>
      <c r="L98">
        <v>35</v>
      </c>
      <c r="M98">
        <v>11</v>
      </c>
      <c r="N98">
        <v>120</v>
      </c>
      <c r="O98">
        <v>5</v>
      </c>
      <c r="P98">
        <v>64</v>
      </c>
      <c r="Q98">
        <v>21</v>
      </c>
      <c r="R98">
        <v>1</v>
      </c>
      <c r="S98">
        <v>4</v>
      </c>
      <c r="T98">
        <v>59</v>
      </c>
      <c r="U98">
        <v>9</v>
      </c>
      <c r="V98">
        <v>10</v>
      </c>
      <c r="W98">
        <v>0</v>
      </c>
      <c r="X98">
        <v>30</v>
      </c>
      <c r="Y98">
        <v>4</v>
      </c>
      <c r="Z98" t="str" cm="1">
        <f t="array" ref="Z98">_xlfn.IFS(MAX(V98:Y98)=V98,"Vitamin A",MAX(V98:Y98)=W98,"Vitamin C",MAX(V98:Y98)=X98,"Calcium",MAX(V98:Y98)=Y98,"Iron")</f>
        <v>Calcium</v>
      </c>
    </row>
    <row r="99" spans="1:26" x14ac:dyDescent="0.3">
      <c r="A99" t="s">
        <v>24</v>
      </c>
      <c r="B99" t="s">
        <v>65</v>
      </c>
      <c r="C99" t="s">
        <v>66</v>
      </c>
      <c r="D99">
        <v>420</v>
      </c>
      <c r="E99">
        <v>200</v>
      </c>
      <c r="F99" s="2">
        <f t="shared" si="1"/>
        <v>0.47619047619047616</v>
      </c>
      <c r="G99">
        <v>22</v>
      </c>
      <c r="H99">
        <v>34</v>
      </c>
      <c r="I99">
        <v>8</v>
      </c>
      <c r="J99">
        <v>40</v>
      </c>
      <c r="K99">
        <v>0</v>
      </c>
      <c r="L99">
        <v>35</v>
      </c>
      <c r="M99">
        <v>11</v>
      </c>
      <c r="N99">
        <v>1030</v>
      </c>
      <c r="O99">
        <v>43</v>
      </c>
      <c r="P99">
        <v>44</v>
      </c>
      <c r="Q99">
        <v>15</v>
      </c>
      <c r="R99">
        <v>2</v>
      </c>
      <c r="S99">
        <v>8</v>
      </c>
      <c r="T99">
        <v>15</v>
      </c>
      <c r="U99">
        <v>11</v>
      </c>
      <c r="V99">
        <v>0</v>
      </c>
      <c r="W99">
        <v>0</v>
      </c>
      <c r="X99">
        <v>8</v>
      </c>
      <c r="Y99">
        <v>10</v>
      </c>
      <c r="Z99" t="str" cm="1">
        <f t="array" ref="Z99">_xlfn.IFS(MAX(V99:Y99)=V99,"Vitamin A",MAX(V99:Y99)=W99,"Vitamin C",MAX(V99:Y99)=X99,"Calcium",MAX(V99:Y99)=Y99,"Iron")</f>
        <v>Iron</v>
      </c>
    </row>
    <row r="100" spans="1:26" x14ac:dyDescent="0.3">
      <c r="A100" t="s">
        <v>416</v>
      </c>
      <c r="B100" t="s">
        <v>292</v>
      </c>
      <c r="C100" t="s">
        <v>283</v>
      </c>
      <c r="D100">
        <v>420</v>
      </c>
      <c r="E100">
        <v>120</v>
      </c>
      <c r="F100" s="2">
        <f t="shared" si="1"/>
        <v>0.2857142857142857</v>
      </c>
      <c r="G100">
        <v>14</v>
      </c>
      <c r="H100">
        <v>21</v>
      </c>
      <c r="I100">
        <v>8</v>
      </c>
      <c r="J100">
        <v>39</v>
      </c>
      <c r="K100">
        <v>0</v>
      </c>
      <c r="L100">
        <v>40</v>
      </c>
      <c r="M100">
        <v>14</v>
      </c>
      <c r="N100">
        <v>190</v>
      </c>
      <c r="O100">
        <v>8</v>
      </c>
      <c r="P100">
        <v>60</v>
      </c>
      <c r="Q100">
        <v>20</v>
      </c>
      <c r="R100">
        <v>1</v>
      </c>
      <c r="S100">
        <v>6</v>
      </c>
      <c r="T100">
        <v>56</v>
      </c>
      <c r="U100">
        <v>15</v>
      </c>
      <c r="V100">
        <v>15</v>
      </c>
      <c r="W100">
        <v>0</v>
      </c>
      <c r="X100">
        <v>50</v>
      </c>
      <c r="Y100">
        <v>2</v>
      </c>
      <c r="Z100" t="str" cm="1">
        <f t="array" ref="Z100">_xlfn.IFS(MAX(V100:Y100)=V100,"Vitamin A",MAX(V100:Y100)=W100,"Vitamin C",MAX(V100:Y100)=X100,"Calcium",MAX(V100:Y100)=Y100,"Iron")</f>
        <v>Calcium</v>
      </c>
    </row>
    <row r="101" spans="1:26" x14ac:dyDescent="0.3">
      <c r="A101" t="s">
        <v>24</v>
      </c>
      <c r="B101" t="s">
        <v>40</v>
      </c>
      <c r="C101" t="s">
        <v>41</v>
      </c>
      <c r="D101">
        <v>410</v>
      </c>
      <c r="E101">
        <v>180</v>
      </c>
      <c r="F101" s="2">
        <f t="shared" si="1"/>
        <v>0.43902439024390244</v>
      </c>
      <c r="G101">
        <v>20</v>
      </c>
      <c r="H101">
        <v>32</v>
      </c>
      <c r="I101">
        <v>11</v>
      </c>
      <c r="J101">
        <v>56</v>
      </c>
      <c r="K101">
        <v>0</v>
      </c>
      <c r="L101">
        <v>35</v>
      </c>
      <c r="M101">
        <v>11</v>
      </c>
      <c r="N101">
        <v>1300</v>
      </c>
      <c r="O101">
        <v>54</v>
      </c>
      <c r="P101">
        <v>36</v>
      </c>
      <c r="Q101">
        <v>12</v>
      </c>
      <c r="R101">
        <v>2</v>
      </c>
      <c r="S101">
        <v>7</v>
      </c>
      <c r="T101">
        <v>3</v>
      </c>
      <c r="U101">
        <v>20</v>
      </c>
      <c r="V101">
        <v>2</v>
      </c>
      <c r="W101">
        <v>8</v>
      </c>
      <c r="X101">
        <v>15</v>
      </c>
      <c r="Y101">
        <v>10</v>
      </c>
      <c r="Z101" t="str" cm="1">
        <f t="array" ref="Z101">_xlfn.IFS(MAX(V101:Y101)=V101,"Vitamin A",MAX(V101:Y101)=W101,"Vitamin C",MAX(V101:Y101)=X101,"Calcium",MAX(V101:Y101)=Y101,"Iron")</f>
        <v>Calcium</v>
      </c>
    </row>
    <row r="102" spans="1:26" x14ac:dyDescent="0.3">
      <c r="A102" t="s">
        <v>24</v>
      </c>
      <c r="B102" t="s">
        <v>55</v>
      </c>
      <c r="C102" t="s">
        <v>56</v>
      </c>
      <c r="D102">
        <v>410</v>
      </c>
      <c r="E102">
        <v>180</v>
      </c>
      <c r="F102" s="2">
        <f t="shared" si="1"/>
        <v>0.43902439024390244</v>
      </c>
      <c r="G102">
        <v>20</v>
      </c>
      <c r="H102">
        <v>31</v>
      </c>
      <c r="I102">
        <v>8</v>
      </c>
      <c r="J102">
        <v>41</v>
      </c>
      <c r="K102">
        <v>0</v>
      </c>
      <c r="L102">
        <v>30</v>
      </c>
      <c r="M102">
        <v>10</v>
      </c>
      <c r="N102">
        <v>1180</v>
      </c>
      <c r="O102">
        <v>49</v>
      </c>
      <c r="P102">
        <v>41</v>
      </c>
      <c r="Q102">
        <v>14</v>
      </c>
      <c r="R102">
        <v>2</v>
      </c>
      <c r="S102">
        <v>6</v>
      </c>
      <c r="T102">
        <v>3</v>
      </c>
      <c r="U102">
        <v>17</v>
      </c>
      <c r="V102">
        <v>0</v>
      </c>
      <c r="W102">
        <v>2</v>
      </c>
      <c r="X102">
        <v>6</v>
      </c>
      <c r="Y102">
        <v>15</v>
      </c>
      <c r="Z102" t="str" cm="1">
        <f t="array" ref="Z102">_xlfn.IFS(MAX(V102:Y102)=V102,"Vitamin A",MAX(V102:Y102)=W102,"Vitamin C",MAX(V102:Y102)=X102,"Calcium",MAX(V102:Y102)=Y102,"Iron")</f>
        <v>Iron</v>
      </c>
    </row>
    <row r="103" spans="1:26" x14ac:dyDescent="0.3">
      <c r="A103" t="s">
        <v>416</v>
      </c>
      <c r="B103" t="s">
        <v>312</v>
      </c>
      <c r="C103" t="s">
        <v>234</v>
      </c>
      <c r="D103">
        <v>410</v>
      </c>
      <c r="E103">
        <v>120</v>
      </c>
      <c r="F103" s="2">
        <f t="shared" si="1"/>
        <v>0.29268292682926828</v>
      </c>
      <c r="G103">
        <v>14</v>
      </c>
      <c r="H103">
        <v>21</v>
      </c>
      <c r="I103">
        <v>8</v>
      </c>
      <c r="J103">
        <v>40</v>
      </c>
      <c r="K103">
        <v>0</v>
      </c>
      <c r="L103">
        <v>40</v>
      </c>
      <c r="M103">
        <v>14</v>
      </c>
      <c r="N103">
        <v>190</v>
      </c>
      <c r="O103">
        <v>8</v>
      </c>
      <c r="P103">
        <v>60</v>
      </c>
      <c r="Q103">
        <v>20</v>
      </c>
      <c r="R103">
        <v>2</v>
      </c>
      <c r="S103">
        <v>8</v>
      </c>
      <c r="T103">
        <v>53</v>
      </c>
      <c r="U103">
        <v>13</v>
      </c>
      <c r="V103">
        <v>10</v>
      </c>
      <c r="W103">
        <v>0</v>
      </c>
      <c r="X103">
        <v>40</v>
      </c>
      <c r="Y103">
        <v>6</v>
      </c>
      <c r="Z103" t="str" cm="1">
        <f t="array" ref="Z103">_xlfn.IFS(MAX(V103:Y103)=V103,"Vitamin A",MAX(V103:Y103)=W103,"Vitamin C",MAX(V103:Y103)=X103,"Calcium",MAX(V103:Y103)=Y103,"Iron")</f>
        <v>Calcium</v>
      </c>
    </row>
    <row r="104" spans="1:26" x14ac:dyDescent="0.3">
      <c r="A104" t="s">
        <v>415</v>
      </c>
      <c r="B104" t="s">
        <v>399</v>
      </c>
      <c r="C104" t="s">
        <v>107</v>
      </c>
      <c r="D104">
        <v>410</v>
      </c>
      <c r="E104">
        <v>150</v>
      </c>
      <c r="F104" s="2">
        <f t="shared" si="1"/>
        <v>0.36585365853658536</v>
      </c>
      <c r="G104">
        <v>16</v>
      </c>
      <c r="H104">
        <v>25</v>
      </c>
      <c r="I104">
        <v>8</v>
      </c>
      <c r="J104">
        <v>38</v>
      </c>
      <c r="K104">
        <v>0</v>
      </c>
      <c r="L104">
        <v>30</v>
      </c>
      <c r="M104">
        <v>10</v>
      </c>
      <c r="N104">
        <v>200</v>
      </c>
      <c r="O104">
        <v>8</v>
      </c>
      <c r="P104">
        <v>57</v>
      </c>
      <c r="Q104">
        <v>19</v>
      </c>
      <c r="R104">
        <v>1</v>
      </c>
      <c r="S104">
        <v>5</v>
      </c>
      <c r="T104">
        <v>51</v>
      </c>
      <c r="U104">
        <v>10</v>
      </c>
      <c r="V104">
        <v>10</v>
      </c>
      <c r="W104">
        <v>0</v>
      </c>
      <c r="X104">
        <v>30</v>
      </c>
      <c r="Y104">
        <v>4</v>
      </c>
      <c r="Z104" t="str" cm="1">
        <f t="array" ref="Z104">_xlfn.IFS(MAX(V104:Y104)=V104,"Vitamin A",MAX(V104:Y104)=W104,"Vitamin C",MAX(V104:Y104)=X104,"Calcium",MAX(V104:Y104)=Y104,"Iron")</f>
        <v>Calcium</v>
      </c>
    </row>
    <row r="105" spans="1:26" x14ac:dyDescent="0.3">
      <c r="A105" t="s">
        <v>24</v>
      </c>
      <c r="B105" t="s">
        <v>33</v>
      </c>
      <c r="C105" t="s">
        <v>32</v>
      </c>
      <c r="D105">
        <v>400</v>
      </c>
      <c r="E105">
        <v>210</v>
      </c>
      <c r="F105" s="2">
        <f t="shared" si="1"/>
        <v>0.52500000000000002</v>
      </c>
      <c r="G105">
        <v>23</v>
      </c>
      <c r="H105">
        <v>35</v>
      </c>
      <c r="I105">
        <v>8</v>
      </c>
      <c r="J105">
        <v>42</v>
      </c>
      <c r="K105">
        <v>0</v>
      </c>
      <c r="L105">
        <v>50</v>
      </c>
      <c r="M105">
        <v>16</v>
      </c>
      <c r="N105">
        <v>880</v>
      </c>
      <c r="O105">
        <v>37</v>
      </c>
      <c r="P105">
        <v>30</v>
      </c>
      <c r="Q105">
        <v>10</v>
      </c>
      <c r="R105">
        <v>4</v>
      </c>
      <c r="S105">
        <v>17</v>
      </c>
      <c r="T105">
        <v>2</v>
      </c>
      <c r="U105">
        <v>21</v>
      </c>
      <c r="V105">
        <v>6</v>
      </c>
      <c r="W105">
        <v>0</v>
      </c>
      <c r="X105">
        <v>25</v>
      </c>
      <c r="Y105">
        <v>10</v>
      </c>
      <c r="Z105" t="str" cm="1">
        <f t="array" ref="Z105">_xlfn.IFS(MAX(V105:Y105)=V105,"Vitamin A",MAX(V105:Y105)=W105,"Vitamin C",MAX(V105:Y105)=X105,"Calcium",MAX(V105:Y105)=Y105,"Iron")</f>
        <v>Calcium</v>
      </c>
    </row>
    <row r="106" spans="1:26" x14ac:dyDescent="0.3">
      <c r="A106" t="s">
        <v>24</v>
      </c>
      <c r="B106" t="s">
        <v>63</v>
      </c>
      <c r="C106" t="s">
        <v>64</v>
      </c>
      <c r="D106">
        <v>400</v>
      </c>
      <c r="E106">
        <v>140</v>
      </c>
      <c r="F106" s="2">
        <f t="shared" si="1"/>
        <v>0.35</v>
      </c>
      <c r="G106">
        <v>15</v>
      </c>
      <c r="H106">
        <v>24</v>
      </c>
      <c r="I106">
        <v>7</v>
      </c>
      <c r="J106">
        <v>34</v>
      </c>
      <c r="K106">
        <v>0</v>
      </c>
      <c r="L106">
        <v>35</v>
      </c>
      <c r="M106">
        <v>11</v>
      </c>
      <c r="N106">
        <v>1250</v>
      </c>
      <c r="O106">
        <v>52</v>
      </c>
      <c r="P106">
        <v>47</v>
      </c>
      <c r="Q106">
        <v>16</v>
      </c>
      <c r="R106">
        <v>2</v>
      </c>
      <c r="S106">
        <v>9</v>
      </c>
      <c r="T106">
        <v>16</v>
      </c>
      <c r="U106">
        <v>20</v>
      </c>
      <c r="V106">
        <v>2</v>
      </c>
      <c r="W106">
        <v>10</v>
      </c>
      <c r="X106">
        <v>15</v>
      </c>
      <c r="Y106">
        <v>10</v>
      </c>
      <c r="Z106" t="str" cm="1">
        <f t="array" ref="Z106">_xlfn.IFS(MAX(V106:Y106)=V106,"Vitamin A",MAX(V106:Y106)=W106,"Vitamin C",MAX(V106:Y106)=X106,"Calcium",MAX(V106:Y106)=Y106,"Iron")</f>
        <v>Calcium</v>
      </c>
    </row>
    <row r="107" spans="1:26" x14ac:dyDescent="0.3">
      <c r="A107" t="s">
        <v>416</v>
      </c>
      <c r="B107" t="s">
        <v>328</v>
      </c>
      <c r="C107" t="s">
        <v>283</v>
      </c>
      <c r="D107">
        <v>400</v>
      </c>
      <c r="E107">
        <v>35</v>
      </c>
      <c r="F107" s="2">
        <f t="shared" si="1"/>
        <v>8.7499999999999994E-2</v>
      </c>
      <c r="G107">
        <v>3.5</v>
      </c>
      <c r="H107">
        <v>6</v>
      </c>
      <c r="I107">
        <v>2.5</v>
      </c>
      <c r="J107">
        <v>12</v>
      </c>
      <c r="K107">
        <v>0</v>
      </c>
      <c r="L107">
        <v>20</v>
      </c>
      <c r="M107">
        <v>7</v>
      </c>
      <c r="N107">
        <v>280</v>
      </c>
      <c r="O107">
        <v>12</v>
      </c>
      <c r="P107">
        <v>74</v>
      </c>
      <c r="Q107">
        <v>25</v>
      </c>
      <c r="R107">
        <v>1</v>
      </c>
      <c r="S107">
        <v>5</v>
      </c>
      <c r="T107">
        <v>69</v>
      </c>
      <c r="U107">
        <v>19</v>
      </c>
      <c r="V107">
        <v>25</v>
      </c>
      <c r="W107">
        <v>0</v>
      </c>
      <c r="X107">
        <v>60</v>
      </c>
      <c r="Y107">
        <v>8</v>
      </c>
      <c r="Z107" t="str" cm="1">
        <f t="array" ref="Z107">_xlfn.IFS(MAX(V107:Y107)=V107,"Vitamin A",MAX(V107:Y107)=W107,"Vitamin C",MAX(V107:Y107)=X107,"Calcium",MAX(V107:Y107)=Y107,"Iron")</f>
        <v>Calcium</v>
      </c>
    </row>
    <row r="108" spans="1:26" x14ac:dyDescent="0.3">
      <c r="A108" t="s">
        <v>414</v>
      </c>
      <c r="B108" t="s">
        <v>181</v>
      </c>
      <c r="C108" t="s">
        <v>182</v>
      </c>
      <c r="D108">
        <v>390</v>
      </c>
      <c r="E108">
        <v>170</v>
      </c>
      <c r="F108" s="2">
        <f t="shared" si="1"/>
        <v>0.4358974358974359</v>
      </c>
      <c r="G108">
        <v>19</v>
      </c>
      <c r="H108">
        <v>29</v>
      </c>
      <c r="I108">
        <v>4</v>
      </c>
      <c r="J108">
        <v>19</v>
      </c>
      <c r="K108">
        <v>0</v>
      </c>
      <c r="L108">
        <v>40</v>
      </c>
      <c r="M108">
        <v>14</v>
      </c>
      <c r="N108">
        <v>590</v>
      </c>
      <c r="O108">
        <v>24</v>
      </c>
      <c r="P108">
        <v>39</v>
      </c>
      <c r="Q108">
        <v>13</v>
      </c>
      <c r="R108">
        <v>2</v>
      </c>
      <c r="S108">
        <v>7</v>
      </c>
      <c r="T108">
        <v>5</v>
      </c>
      <c r="U108">
        <v>15</v>
      </c>
      <c r="V108">
        <v>2</v>
      </c>
      <c r="W108">
        <v>0</v>
      </c>
      <c r="X108">
        <v>15</v>
      </c>
      <c r="Y108">
        <v>10</v>
      </c>
      <c r="Z108" t="str" cm="1">
        <f t="array" ref="Z108">_xlfn.IFS(MAX(V108:Y108)=V108,"Vitamin A",MAX(V108:Y108)=W108,"Vitamin C",MAX(V108:Y108)=X108,"Calcium",MAX(V108:Y108)=Y108,"Iron")</f>
        <v>Calcium</v>
      </c>
    </row>
    <row r="109" spans="1:26" x14ac:dyDescent="0.3">
      <c r="A109" t="s">
        <v>416</v>
      </c>
      <c r="B109" t="s">
        <v>316</v>
      </c>
      <c r="C109" t="s">
        <v>283</v>
      </c>
      <c r="D109">
        <v>390</v>
      </c>
      <c r="E109">
        <v>35</v>
      </c>
      <c r="F109" s="2">
        <f t="shared" si="1"/>
        <v>8.9743589743589744E-2</v>
      </c>
      <c r="G109">
        <v>4</v>
      </c>
      <c r="H109">
        <v>6</v>
      </c>
      <c r="I109">
        <v>2.5</v>
      </c>
      <c r="J109">
        <v>12</v>
      </c>
      <c r="K109">
        <v>0</v>
      </c>
      <c r="L109">
        <v>20</v>
      </c>
      <c r="M109">
        <v>6</v>
      </c>
      <c r="N109">
        <v>240</v>
      </c>
      <c r="O109">
        <v>10</v>
      </c>
      <c r="P109">
        <v>73</v>
      </c>
      <c r="Q109">
        <v>24</v>
      </c>
      <c r="R109">
        <v>2</v>
      </c>
      <c r="S109">
        <v>10</v>
      </c>
      <c r="T109">
        <v>64</v>
      </c>
      <c r="U109">
        <v>17</v>
      </c>
      <c r="V109">
        <v>20</v>
      </c>
      <c r="W109">
        <v>0</v>
      </c>
      <c r="X109">
        <v>50</v>
      </c>
      <c r="Y109">
        <v>8</v>
      </c>
      <c r="Z109" t="str" cm="1">
        <f t="array" ref="Z109">_xlfn.IFS(MAX(V109:Y109)=V109,"Vitamin A",MAX(V109:Y109)=W109,"Vitamin C",MAX(V109:Y109)=X109,"Calcium",MAX(V109:Y109)=Y109,"Iron")</f>
        <v>Calcium</v>
      </c>
    </row>
    <row r="110" spans="1:26" x14ac:dyDescent="0.3">
      <c r="A110" t="s">
        <v>416</v>
      </c>
      <c r="B110" t="s">
        <v>318</v>
      </c>
      <c r="C110" t="s">
        <v>234</v>
      </c>
      <c r="D110">
        <v>390</v>
      </c>
      <c r="E110">
        <v>120</v>
      </c>
      <c r="F110" s="2">
        <f t="shared" si="1"/>
        <v>0.30769230769230771</v>
      </c>
      <c r="G110">
        <v>14</v>
      </c>
      <c r="H110">
        <v>21</v>
      </c>
      <c r="I110">
        <v>8</v>
      </c>
      <c r="J110">
        <v>40</v>
      </c>
      <c r="K110">
        <v>0.5</v>
      </c>
      <c r="L110">
        <v>40</v>
      </c>
      <c r="M110">
        <v>14</v>
      </c>
      <c r="N110">
        <v>220</v>
      </c>
      <c r="O110">
        <v>9</v>
      </c>
      <c r="P110">
        <v>55</v>
      </c>
      <c r="Q110">
        <v>18</v>
      </c>
      <c r="R110">
        <v>1</v>
      </c>
      <c r="S110">
        <v>4</v>
      </c>
      <c r="T110">
        <v>50</v>
      </c>
      <c r="U110">
        <v>12</v>
      </c>
      <c r="V110">
        <v>15</v>
      </c>
      <c r="W110">
        <v>0</v>
      </c>
      <c r="X110">
        <v>40</v>
      </c>
      <c r="Y110">
        <v>2</v>
      </c>
      <c r="Z110" t="str" cm="1">
        <f t="array" ref="Z110">_xlfn.IFS(MAX(V110:Y110)=V110,"Vitamin A",MAX(V110:Y110)=W110,"Vitamin C",MAX(V110:Y110)=X110,"Calcium",MAX(V110:Y110)=Y110,"Iron")</f>
        <v>Calcium</v>
      </c>
    </row>
    <row r="111" spans="1:26" x14ac:dyDescent="0.3">
      <c r="A111" t="s">
        <v>416</v>
      </c>
      <c r="B111" t="s">
        <v>350</v>
      </c>
      <c r="C111" t="s">
        <v>265</v>
      </c>
      <c r="D111">
        <v>390</v>
      </c>
      <c r="E111">
        <v>50</v>
      </c>
      <c r="F111" s="2">
        <f t="shared" si="1"/>
        <v>0.12820512820512819</v>
      </c>
      <c r="G111">
        <v>6</v>
      </c>
      <c r="H111">
        <v>9</v>
      </c>
      <c r="I111">
        <v>3.5</v>
      </c>
      <c r="J111">
        <v>18</v>
      </c>
      <c r="K111">
        <v>0</v>
      </c>
      <c r="L111">
        <v>25</v>
      </c>
      <c r="M111">
        <v>8</v>
      </c>
      <c r="N111">
        <v>220</v>
      </c>
      <c r="O111">
        <v>9</v>
      </c>
      <c r="P111">
        <v>71</v>
      </c>
      <c r="Q111">
        <v>24</v>
      </c>
      <c r="R111">
        <v>2</v>
      </c>
      <c r="S111">
        <v>8</v>
      </c>
      <c r="T111">
        <v>62</v>
      </c>
      <c r="U111">
        <v>14</v>
      </c>
      <c r="V111">
        <v>20</v>
      </c>
      <c r="W111">
        <v>0</v>
      </c>
      <c r="X111">
        <v>45</v>
      </c>
      <c r="Y111">
        <v>8</v>
      </c>
      <c r="Z111" t="str" cm="1">
        <f t="array" ref="Z111">_xlfn.IFS(MAX(V111:Y111)=V111,"Vitamin A",MAX(V111:Y111)=W111,"Vitamin C",MAX(V111:Y111)=X111,"Calcium",MAX(V111:Y111)=Y111,"Iron")</f>
        <v>Calcium</v>
      </c>
    </row>
    <row r="112" spans="1:26" x14ac:dyDescent="0.3">
      <c r="A112" t="s">
        <v>413</v>
      </c>
      <c r="B112" t="s">
        <v>122</v>
      </c>
      <c r="C112" t="s">
        <v>123</v>
      </c>
      <c r="D112">
        <v>380</v>
      </c>
      <c r="E112">
        <v>150</v>
      </c>
      <c r="F112" s="2">
        <f t="shared" si="1"/>
        <v>0.39473684210526316</v>
      </c>
      <c r="G112">
        <v>17</v>
      </c>
      <c r="H112">
        <v>26</v>
      </c>
      <c r="I112">
        <v>8</v>
      </c>
      <c r="J112">
        <v>40</v>
      </c>
      <c r="K112">
        <v>1</v>
      </c>
      <c r="L112">
        <v>75</v>
      </c>
      <c r="M112">
        <v>25</v>
      </c>
      <c r="N112">
        <v>840</v>
      </c>
      <c r="O112">
        <v>35</v>
      </c>
      <c r="P112">
        <v>34</v>
      </c>
      <c r="Q112">
        <v>11</v>
      </c>
      <c r="R112">
        <v>2</v>
      </c>
      <c r="S112">
        <v>7</v>
      </c>
      <c r="T112">
        <v>7</v>
      </c>
      <c r="U112">
        <v>22</v>
      </c>
      <c r="V112">
        <v>6</v>
      </c>
      <c r="W112">
        <v>2</v>
      </c>
      <c r="X112">
        <v>20</v>
      </c>
      <c r="Y112">
        <v>20</v>
      </c>
      <c r="Z112" t="str" cm="1">
        <f t="array" ref="Z112">_xlfn.IFS(MAX(V112:Y112)=V112,"Vitamin A",MAX(V112:Y112)=W112,"Vitamin C",MAX(V112:Y112)=X112,"Calcium",MAX(V112:Y112)=Y112,"Iron")</f>
        <v>Calcium</v>
      </c>
    </row>
    <row r="113" spans="1:26" x14ac:dyDescent="0.3">
      <c r="A113" t="s">
        <v>414</v>
      </c>
      <c r="B113" t="s">
        <v>169</v>
      </c>
      <c r="C113" t="s">
        <v>170</v>
      </c>
      <c r="D113">
        <v>380</v>
      </c>
      <c r="E113">
        <v>90</v>
      </c>
      <c r="F113" s="2">
        <f t="shared" si="1"/>
        <v>0.23684210526315788</v>
      </c>
      <c r="G113">
        <v>10</v>
      </c>
      <c r="H113">
        <v>15</v>
      </c>
      <c r="I113">
        <v>3</v>
      </c>
      <c r="J113">
        <v>14</v>
      </c>
      <c r="K113">
        <v>0</v>
      </c>
      <c r="L113">
        <v>65</v>
      </c>
      <c r="M113">
        <v>22</v>
      </c>
      <c r="N113">
        <v>1090</v>
      </c>
      <c r="O113">
        <v>45</v>
      </c>
      <c r="P113">
        <v>47</v>
      </c>
      <c r="Q113">
        <v>16</v>
      </c>
      <c r="R113">
        <v>3</v>
      </c>
      <c r="S113">
        <v>13</v>
      </c>
      <c r="T113">
        <v>12</v>
      </c>
      <c r="U113">
        <v>27</v>
      </c>
      <c r="V113">
        <v>60</v>
      </c>
      <c r="W113">
        <v>15</v>
      </c>
      <c r="X113">
        <v>8</v>
      </c>
      <c r="Y113">
        <v>20</v>
      </c>
      <c r="Z113" t="str" cm="1">
        <f t="array" ref="Z113">_xlfn.IFS(MAX(V113:Y113)=V113,"Vitamin A",MAX(V113:Y113)=W113,"Vitamin C",MAX(V113:Y113)=X113,"Calcium",MAX(V113:Y113)=Y113,"Iron")</f>
        <v>Vitamin A</v>
      </c>
    </row>
    <row r="114" spans="1:26" x14ac:dyDescent="0.3">
      <c r="A114" t="s">
        <v>183</v>
      </c>
      <c r="B114" t="s">
        <v>186</v>
      </c>
      <c r="C114" t="s">
        <v>187</v>
      </c>
      <c r="D114">
        <v>380</v>
      </c>
      <c r="E114">
        <v>190</v>
      </c>
      <c r="F114" s="2">
        <f t="shared" si="1"/>
        <v>0.5</v>
      </c>
      <c r="G114">
        <v>21</v>
      </c>
      <c r="H114">
        <v>33</v>
      </c>
      <c r="I114">
        <v>6</v>
      </c>
      <c r="J114">
        <v>29</v>
      </c>
      <c r="K114">
        <v>0</v>
      </c>
      <c r="L114">
        <v>70</v>
      </c>
      <c r="M114">
        <v>23</v>
      </c>
      <c r="N114">
        <v>860</v>
      </c>
      <c r="O114">
        <v>36</v>
      </c>
      <c r="P114">
        <v>22</v>
      </c>
      <c r="Q114">
        <v>7</v>
      </c>
      <c r="R114">
        <v>2</v>
      </c>
      <c r="S114">
        <v>10</v>
      </c>
      <c r="T114">
        <v>5</v>
      </c>
      <c r="U114">
        <v>25</v>
      </c>
      <c r="V114">
        <v>100</v>
      </c>
      <c r="W114">
        <v>25</v>
      </c>
      <c r="X114">
        <v>15</v>
      </c>
      <c r="Y114">
        <v>8</v>
      </c>
      <c r="Z114" t="str" cm="1">
        <f t="array" ref="Z114">_xlfn.IFS(MAX(V114:Y114)=V114,"Vitamin A",MAX(V114:Y114)=W114,"Vitamin C",MAX(V114:Y114)=X114,"Calcium",MAX(V114:Y114)=Y114,"Iron")</f>
        <v>Vitamin A</v>
      </c>
    </row>
    <row r="115" spans="1:26" x14ac:dyDescent="0.3">
      <c r="A115" t="s">
        <v>24</v>
      </c>
      <c r="B115" t="s">
        <v>29</v>
      </c>
      <c r="C115" t="s">
        <v>30</v>
      </c>
      <c r="D115">
        <v>370</v>
      </c>
      <c r="E115">
        <v>200</v>
      </c>
      <c r="F115" s="2">
        <f t="shared" si="1"/>
        <v>0.54054054054054057</v>
      </c>
      <c r="G115">
        <v>23</v>
      </c>
      <c r="H115">
        <v>35</v>
      </c>
      <c r="I115">
        <v>8</v>
      </c>
      <c r="J115">
        <v>42</v>
      </c>
      <c r="K115">
        <v>0</v>
      </c>
      <c r="L115">
        <v>45</v>
      </c>
      <c r="M115">
        <v>15</v>
      </c>
      <c r="N115">
        <v>780</v>
      </c>
      <c r="O115">
        <v>33</v>
      </c>
      <c r="P115">
        <v>29</v>
      </c>
      <c r="Q115">
        <v>10</v>
      </c>
      <c r="R115">
        <v>4</v>
      </c>
      <c r="S115">
        <v>17</v>
      </c>
      <c r="T115">
        <v>2</v>
      </c>
      <c r="U115">
        <v>14</v>
      </c>
      <c r="V115">
        <v>8</v>
      </c>
      <c r="W115">
        <v>0</v>
      </c>
      <c r="X115">
        <v>25</v>
      </c>
      <c r="Y115">
        <v>10</v>
      </c>
      <c r="Z115" t="str" cm="1">
        <f t="array" ref="Z115">_xlfn.IFS(MAX(V115:Y115)=V115,"Vitamin A",MAX(V115:Y115)=W115,"Vitamin C",MAX(V115:Y115)=X115,"Calcium",MAX(V115:Y115)=Y115,"Iron")</f>
        <v>Calcium</v>
      </c>
    </row>
    <row r="116" spans="1:26" x14ac:dyDescent="0.3">
      <c r="A116" t="s">
        <v>416</v>
      </c>
      <c r="B116" t="s">
        <v>322</v>
      </c>
      <c r="C116" t="s">
        <v>283</v>
      </c>
      <c r="D116">
        <v>370</v>
      </c>
      <c r="E116">
        <v>35</v>
      </c>
      <c r="F116" s="2">
        <f t="shared" si="1"/>
        <v>9.45945945945946E-2</v>
      </c>
      <c r="G116">
        <v>3.5</v>
      </c>
      <c r="H116">
        <v>6</v>
      </c>
      <c r="I116">
        <v>2.5</v>
      </c>
      <c r="J116">
        <v>11</v>
      </c>
      <c r="K116">
        <v>0</v>
      </c>
      <c r="L116">
        <v>20</v>
      </c>
      <c r="M116">
        <v>6</v>
      </c>
      <c r="N116">
        <v>270</v>
      </c>
      <c r="O116">
        <v>11</v>
      </c>
      <c r="P116">
        <v>67</v>
      </c>
      <c r="Q116">
        <v>22</v>
      </c>
      <c r="R116">
        <v>1</v>
      </c>
      <c r="S116">
        <v>5</v>
      </c>
      <c r="T116">
        <v>61</v>
      </c>
      <c r="U116">
        <v>17</v>
      </c>
      <c r="V116">
        <v>20</v>
      </c>
      <c r="W116">
        <v>0</v>
      </c>
      <c r="X116">
        <v>50</v>
      </c>
      <c r="Y116">
        <v>4</v>
      </c>
      <c r="Z116" t="str" cm="1">
        <f t="array" ref="Z116">_xlfn.IFS(MAX(V116:Y116)=V116,"Vitamin A",MAX(V116:Y116)=W116,"Vitamin C",MAX(V116:Y116)=X116,"Calcium",MAX(V116:Y116)=Y116,"Iron")</f>
        <v>Calcium</v>
      </c>
    </row>
    <row r="117" spans="1:26" x14ac:dyDescent="0.3">
      <c r="A117" t="s">
        <v>416</v>
      </c>
      <c r="B117" t="s">
        <v>356</v>
      </c>
      <c r="C117" t="s">
        <v>265</v>
      </c>
      <c r="D117">
        <v>370</v>
      </c>
      <c r="E117">
        <v>50</v>
      </c>
      <c r="F117" s="2">
        <f t="shared" si="1"/>
        <v>0.13513513513513514</v>
      </c>
      <c r="G117">
        <v>6</v>
      </c>
      <c r="H117">
        <v>8</v>
      </c>
      <c r="I117">
        <v>3.5</v>
      </c>
      <c r="J117">
        <v>17</v>
      </c>
      <c r="K117">
        <v>0</v>
      </c>
      <c r="L117">
        <v>25</v>
      </c>
      <c r="M117">
        <v>8</v>
      </c>
      <c r="N117">
        <v>250</v>
      </c>
      <c r="O117">
        <v>10</v>
      </c>
      <c r="P117">
        <v>65</v>
      </c>
      <c r="Q117">
        <v>22</v>
      </c>
      <c r="R117">
        <v>1</v>
      </c>
      <c r="S117">
        <v>3</v>
      </c>
      <c r="T117">
        <v>59</v>
      </c>
      <c r="U117">
        <v>14</v>
      </c>
      <c r="V117">
        <v>20</v>
      </c>
      <c r="W117">
        <v>0</v>
      </c>
      <c r="X117">
        <v>45</v>
      </c>
      <c r="Y117">
        <v>4</v>
      </c>
      <c r="Z117" t="str" cm="1">
        <f t="array" ref="Z117">_xlfn.IFS(MAX(V117:Y117)=V117,"Vitamin A",MAX(V117:Y117)=W117,"Vitamin C",MAX(V117:Y117)=X117,"Calcium",MAX(V117:Y117)=Y117,"Iron")</f>
        <v>Calcium</v>
      </c>
    </row>
    <row r="118" spans="1:26" x14ac:dyDescent="0.3">
      <c r="A118" t="s">
        <v>414</v>
      </c>
      <c r="B118" t="s">
        <v>148</v>
      </c>
      <c r="C118" t="s">
        <v>149</v>
      </c>
      <c r="D118">
        <v>360</v>
      </c>
      <c r="E118">
        <v>140</v>
      </c>
      <c r="F118" s="2">
        <f t="shared" si="1"/>
        <v>0.3888888888888889</v>
      </c>
      <c r="G118">
        <v>16</v>
      </c>
      <c r="H118">
        <v>25</v>
      </c>
      <c r="I118">
        <v>3</v>
      </c>
      <c r="J118">
        <v>15</v>
      </c>
      <c r="K118">
        <v>0</v>
      </c>
      <c r="L118">
        <v>35</v>
      </c>
      <c r="M118">
        <v>11</v>
      </c>
      <c r="N118">
        <v>800</v>
      </c>
      <c r="O118">
        <v>33</v>
      </c>
      <c r="P118">
        <v>40</v>
      </c>
      <c r="Q118">
        <v>13</v>
      </c>
      <c r="R118">
        <v>2</v>
      </c>
      <c r="S118">
        <v>7</v>
      </c>
      <c r="T118">
        <v>5</v>
      </c>
      <c r="U118">
        <v>14</v>
      </c>
      <c r="V118">
        <v>0</v>
      </c>
      <c r="W118">
        <v>2</v>
      </c>
      <c r="X118">
        <v>10</v>
      </c>
      <c r="Y118">
        <v>15</v>
      </c>
      <c r="Z118" t="str" cm="1">
        <f t="array" ref="Z118">_xlfn.IFS(MAX(V118:Y118)=V118,"Vitamin A",MAX(V118:Y118)=W118,"Vitamin C",MAX(V118:Y118)=X118,"Calcium",MAX(V118:Y118)=Y118,"Iron")</f>
        <v>Iron</v>
      </c>
    </row>
    <row r="119" spans="1:26" x14ac:dyDescent="0.3">
      <c r="A119" t="s">
        <v>414</v>
      </c>
      <c r="B119" t="s">
        <v>153</v>
      </c>
      <c r="C119" t="s">
        <v>154</v>
      </c>
      <c r="D119">
        <v>360</v>
      </c>
      <c r="E119">
        <v>150</v>
      </c>
      <c r="F119" s="2">
        <f t="shared" si="1"/>
        <v>0.41666666666666669</v>
      </c>
      <c r="G119">
        <v>16</v>
      </c>
      <c r="H119">
        <v>25</v>
      </c>
      <c r="I119">
        <v>3</v>
      </c>
      <c r="J119">
        <v>16</v>
      </c>
      <c r="K119">
        <v>0</v>
      </c>
      <c r="L119">
        <v>35</v>
      </c>
      <c r="M119">
        <v>11</v>
      </c>
      <c r="N119">
        <v>990</v>
      </c>
      <c r="O119">
        <v>41</v>
      </c>
      <c r="P119">
        <v>40</v>
      </c>
      <c r="Q119">
        <v>13</v>
      </c>
      <c r="R119">
        <v>2</v>
      </c>
      <c r="S119">
        <v>7</v>
      </c>
      <c r="T119">
        <v>5</v>
      </c>
      <c r="U119">
        <v>14</v>
      </c>
      <c r="V119">
        <v>2</v>
      </c>
      <c r="W119">
        <v>2</v>
      </c>
      <c r="X119">
        <v>15</v>
      </c>
      <c r="Y119">
        <v>15</v>
      </c>
      <c r="Z119" t="str" cm="1">
        <f t="array" ref="Z119">_xlfn.IFS(MAX(V119:Y119)=V119,"Vitamin A",MAX(V119:Y119)=W119,"Vitamin C",MAX(V119:Y119)=X119,"Calcium",MAX(V119:Y119)=Y119,"Iron")</f>
        <v>Calcium</v>
      </c>
    </row>
    <row r="120" spans="1:26" x14ac:dyDescent="0.3">
      <c r="A120" t="s">
        <v>417</v>
      </c>
      <c r="B120" t="s">
        <v>202</v>
      </c>
      <c r="C120" t="s">
        <v>203</v>
      </c>
      <c r="D120">
        <v>360</v>
      </c>
      <c r="E120">
        <v>180</v>
      </c>
      <c r="F120" s="2">
        <f t="shared" si="1"/>
        <v>0.5</v>
      </c>
      <c r="G120">
        <v>20</v>
      </c>
      <c r="H120">
        <v>30</v>
      </c>
      <c r="I120">
        <v>5</v>
      </c>
      <c r="J120">
        <v>27</v>
      </c>
      <c r="K120">
        <v>0</v>
      </c>
      <c r="L120">
        <v>40</v>
      </c>
      <c r="M120">
        <v>13</v>
      </c>
      <c r="N120">
        <v>810</v>
      </c>
      <c r="O120">
        <v>34</v>
      </c>
      <c r="P120">
        <v>32</v>
      </c>
      <c r="Q120">
        <v>11</v>
      </c>
      <c r="R120">
        <v>1</v>
      </c>
      <c r="S120">
        <v>5</v>
      </c>
      <c r="T120">
        <v>3</v>
      </c>
      <c r="U120">
        <v>15</v>
      </c>
      <c r="V120">
        <v>2</v>
      </c>
      <c r="W120">
        <v>0</v>
      </c>
      <c r="X120">
        <v>10</v>
      </c>
      <c r="Y120">
        <v>10</v>
      </c>
      <c r="Z120" t="str" cm="1">
        <f t="array" ref="Z120">_xlfn.IFS(MAX(V120:Y120)=V120,"Vitamin A",MAX(V120:Y120)=W120,"Vitamin C",MAX(V120:Y120)=X120,"Calcium",MAX(V120:Y120)=Y120,"Iron")</f>
        <v>Calcium</v>
      </c>
    </row>
    <row r="121" spans="1:26" x14ac:dyDescent="0.3">
      <c r="A121" t="s">
        <v>416</v>
      </c>
      <c r="B121" t="s">
        <v>323</v>
      </c>
      <c r="C121" t="s">
        <v>240</v>
      </c>
      <c r="D121">
        <v>360</v>
      </c>
      <c r="E121">
        <v>120</v>
      </c>
      <c r="F121" s="2">
        <f t="shared" si="1"/>
        <v>0.33333333333333331</v>
      </c>
      <c r="G121">
        <v>13</v>
      </c>
      <c r="H121">
        <v>21</v>
      </c>
      <c r="I121">
        <v>8</v>
      </c>
      <c r="J121">
        <v>39</v>
      </c>
      <c r="K121">
        <v>0</v>
      </c>
      <c r="L121">
        <v>40</v>
      </c>
      <c r="M121">
        <v>14</v>
      </c>
      <c r="N121">
        <v>180</v>
      </c>
      <c r="O121">
        <v>8</v>
      </c>
      <c r="P121">
        <v>50</v>
      </c>
      <c r="Q121">
        <v>17</v>
      </c>
      <c r="R121">
        <v>1</v>
      </c>
      <c r="S121">
        <v>3</v>
      </c>
      <c r="T121">
        <v>45</v>
      </c>
      <c r="U121">
        <v>11</v>
      </c>
      <c r="V121">
        <v>10</v>
      </c>
      <c r="W121">
        <v>0</v>
      </c>
      <c r="X121">
        <v>40</v>
      </c>
      <c r="Y121">
        <v>6</v>
      </c>
      <c r="Z121" t="str" cm="1">
        <f t="array" ref="Z121">_xlfn.IFS(MAX(V121:Y121)=V121,"Vitamin A",MAX(V121:Y121)=W121,"Vitamin C",MAX(V121:Y121)=X121,"Calcium",MAX(V121:Y121)=Y121,"Iron")</f>
        <v>Calcium</v>
      </c>
    </row>
    <row r="122" spans="1:26" x14ac:dyDescent="0.3">
      <c r="A122" t="s">
        <v>24</v>
      </c>
      <c r="B122" t="s">
        <v>91</v>
      </c>
      <c r="C122" t="s">
        <v>92</v>
      </c>
      <c r="D122">
        <v>350</v>
      </c>
      <c r="E122">
        <v>80</v>
      </c>
      <c r="F122" s="2">
        <f t="shared" si="1"/>
        <v>0.22857142857142856</v>
      </c>
      <c r="G122">
        <v>9</v>
      </c>
      <c r="H122">
        <v>13</v>
      </c>
      <c r="I122">
        <v>2</v>
      </c>
      <c r="J122">
        <v>9</v>
      </c>
      <c r="K122">
        <v>0</v>
      </c>
      <c r="L122">
        <v>20</v>
      </c>
      <c r="M122">
        <v>7</v>
      </c>
      <c r="N122">
        <v>590</v>
      </c>
      <c r="O122">
        <v>24</v>
      </c>
      <c r="P122">
        <v>60</v>
      </c>
      <c r="Q122">
        <v>20</v>
      </c>
      <c r="R122">
        <v>3</v>
      </c>
      <c r="S122">
        <v>10</v>
      </c>
      <c r="T122">
        <v>14</v>
      </c>
      <c r="U122">
        <v>8</v>
      </c>
      <c r="V122">
        <v>0</v>
      </c>
      <c r="W122">
        <v>0</v>
      </c>
      <c r="X122">
        <v>15</v>
      </c>
      <c r="Y122">
        <v>15</v>
      </c>
      <c r="Z122" t="str" cm="1">
        <f t="array" ref="Z122">_xlfn.IFS(MAX(V122:Y122)=V122,"Vitamin A",MAX(V122:Y122)=W122,"Vitamin C",MAX(V122:Y122)=X122,"Calcium",MAX(V122:Y122)=Y122,"Iron")</f>
        <v>Calcium</v>
      </c>
    </row>
    <row r="123" spans="1:26" x14ac:dyDescent="0.3">
      <c r="A123" t="s">
        <v>414</v>
      </c>
      <c r="B123" t="s">
        <v>134</v>
      </c>
      <c r="C123" t="s">
        <v>135</v>
      </c>
      <c r="D123">
        <v>350</v>
      </c>
      <c r="E123">
        <v>80</v>
      </c>
      <c r="F123" s="2">
        <f t="shared" si="1"/>
        <v>0.22857142857142856</v>
      </c>
      <c r="G123">
        <v>9</v>
      </c>
      <c r="H123">
        <v>13</v>
      </c>
      <c r="I123">
        <v>2</v>
      </c>
      <c r="J123">
        <v>9</v>
      </c>
      <c r="K123">
        <v>0</v>
      </c>
      <c r="L123">
        <v>65</v>
      </c>
      <c r="M123">
        <v>22</v>
      </c>
      <c r="N123">
        <v>820</v>
      </c>
      <c r="O123">
        <v>34</v>
      </c>
      <c r="P123">
        <v>42</v>
      </c>
      <c r="Q123">
        <v>14</v>
      </c>
      <c r="R123">
        <v>3</v>
      </c>
      <c r="S123">
        <v>13</v>
      </c>
      <c r="T123">
        <v>8</v>
      </c>
      <c r="U123">
        <v>28</v>
      </c>
      <c r="V123">
        <v>4</v>
      </c>
      <c r="W123">
        <v>8</v>
      </c>
      <c r="X123">
        <v>15</v>
      </c>
      <c r="Y123">
        <v>20</v>
      </c>
      <c r="Z123" t="str" cm="1">
        <f t="array" ref="Z123">_xlfn.IFS(MAX(V123:Y123)=V123,"Vitamin A",MAX(V123:Y123)=W123,"Vitamin C",MAX(V123:Y123)=X123,"Calcium",MAX(V123:Y123)=Y123,"Iron")</f>
        <v>Iron</v>
      </c>
    </row>
    <row r="124" spans="1:26" x14ac:dyDescent="0.3">
      <c r="A124" t="s">
        <v>416</v>
      </c>
      <c r="B124" t="s">
        <v>346</v>
      </c>
      <c r="C124" t="s">
        <v>234</v>
      </c>
      <c r="D124">
        <v>350</v>
      </c>
      <c r="E124">
        <v>110</v>
      </c>
      <c r="F124" s="2">
        <f t="shared" si="1"/>
        <v>0.31428571428571428</v>
      </c>
      <c r="G124">
        <v>13</v>
      </c>
      <c r="H124">
        <v>19</v>
      </c>
      <c r="I124">
        <v>8</v>
      </c>
      <c r="J124">
        <v>38</v>
      </c>
      <c r="K124">
        <v>0</v>
      </c>
      <c r="L124">
        <v>40</v>
      </c>
      <c r="M124">
        <v>13</v>
      </c>
      <c r="N124">
        <v>150</v>
      </c>
      <c r="O124">
        <v>6</v>
      </c>
      <c r="P124">
        <v>50</v>
      </c>
      <c r="Q124">
        <v>17</v>
      </c>
      <c r="R124">
        <v>1</v>
      </c>
      <c r="S124">
        <v>5</v>
      </c>
      <c r="T124">
        <v>43</v>
      </c>
      <c r="U124">
        <v>9</v>
      </c>
      <c r="V124">
        <v>10</v>
      </c>
      <c r="W124">
        <v>0</v>
      </c>
      <c r="X124">
        <v>30</v>
      </c>
      <c r="Y124">
        <v>6</v>
      </c>
      <c r="Z124" t="str" cm="1">
        <f t="array" ref="Z124">_xlfn.IFS(MAX(V124:Y124)=V124,"Vitamin A",MAX(V124:Y124)=W124,"Vitamin C",MAX(V124:Y124)=X124,"Calcium",MAX(V124:Y124)=Y124,"Iron")</f>
        <v>Calcium</v>
      </c>
    </row>
    <row r="125" spans="1:26" x14ac:dyDescent="0.3">
      <c r="A125" t="s">
        <v>417</v>
      </c>
      <c r="B125" t="s">
        <v>195</v>
      </c>
      <c r="C125" t="s">
        <v>196</v>
      </c>
      <c r="D125">
        <v>340</v>
      </c>
      <c r="E125">
        <v>130</v>
      </c>
      <c r="F125" s="2">
        <f t="shared" si="1"/>
        <v>0.38235294117647056</v>
      </c>
      <c r="G125">
        <v>15</v>
      </c>
      <c r="H125">
        <v>23</v>
      </c>
      <c r="I125">
        <v>4.5</v>
      </c>
      <c r="J125">
        <v>22</v>
      </c>
      <c r="K125">
        <v>0</v>
      </c>
      <c r="L125">
        <v>30</v>
      </c>
      <c r="M125">
        <v>11</v>
      </c>
      <c r="N125">
        <v>780</v>
      </c>
      <c r="O125">
        <v>33</v>
      </c>
      <c r="P125">
        <v>37</v>
      </c>
      <c r="Q125">
        <v>12</v>
      </c>
      <c r="R125">
        <v>1</v>
      </c>
      <c r="S125">
        <v>6</v>
      </c>
      <c r="T125">
        <v>8</v>
      </c>
      <c r="U125">
        <v>14</v>
      </c>
      <c r="V125">
        <v>4</v>
      </c>
      <c r="W125">
        <v>0</v>
      </c>
      <c r="X125">
        <v>10</v>
      </c>
      <c r="Y125">
        <v>10</v>
      </c>
      <c r="Z125" t="str" cm="1">
        <f t="array" ref="Z125">_xlfn.IFS(MAX(V125:Y125)=V125,"Vitamin A",MAX(V125:Y125)=W125,"Vitamin C",MAX(V125:Y125)=X125,"Calcium",MAX(V125:Y125)=Y125,"Iron")</f>
        <v>Calcium</v>
      </c>
    </row>
    <row r="126" spans="1:26" x14ac:dyDescent="0.3">
      <c r="A126" t="s">
        <v>417</v>
      </c>
      <c r="B126" t="s">
        <v>208</v>
      </c>
      <c r="C126" t="s">
        <v>30</v>
      </c>
      <c r="D126">
        <v>340</v>
      </c>
      <c r="E126">
        <v>140</v>
      </c>
      <c r="F126" s="2">
        <f t="shared" si="1"/>
        <v>0.41176470588235292</v>
      </c>
      <c r="G126">
        <v>16</v>
      </c>
      <c r="H126">
        <v>24</v>
      </c>
      <c r="I126">
        <v>2.5</v>
      </c>
      <c r="J126">
        <v>11</v>
      </c>
      <c r="K126">
        <v>0</v>
      </c>
      <c r="L126">
        <v>0</v>
      </c>
      <c r="M126">
        <v>0</v>
      </c>
      <c r="N126">
        <v>190</v>
      </c>
      <c r="O126">
        <v>8</v>
      </c>
      <c r="P126">
        <v>44</v>
      </c>
      <c r="Q126">
        <v>15</v>
      </c>
      <c r="R126">
        <v>4</v>
      </c>
      <c r="S126">
        <v>14</v>
      </c>
      <c r="T126">
        <v>0</v>
      </c>
      <c r="U126">
        <v>4</v>
      </c>
      <c r="V126">
        <v>0</v>
      </c>
      <c r="W126">
        <v>45</v>
      </c>
      <c r="X126">
        <v>2</v>
      </c>
      <c r="Y126">
        <v>4</v>
      </c>
      <c r="Z126" t="str" cm="1">
        <f t="array" ref="Z126">_xlfn.IFS(MAX(V126:Y126)=V126,"Vitamin A",MAX(V126:Y126)=W126,"Vitamin C",MAX(V126:Y126)=X126,"Calcium",MAX(V126:Y126)=Y126,"Iron")</f>
        <v>Vitamin C</v>
      </c>
    </row>
    <row r="127" spans="1:26" x14ac:dyDescent="0.3">
      <c r="A127" t="s">
        <v>219</v>
      </c>
      <c r="B127" t="s">
        <v>229</v>
      </c>
      <c r="C127" t="s">
        <v>230</v>
      </c>
      <c r="D127">
        <v>340</v>
      </c>
      <c r="E127">
        <v>70</v>
      </c>
      <c r="F127" s="2">
        <f t="shared" si="1"/>
        <v>0.20588235294117646</v>
      </c>
      <c r="G127">
        <v>8</v>
      </c>
      <c r="H127">
        <v>12</v>
      </c>
      <c r="I127">
        <v>5</v>
      </c>
      <c r="J127">
        <v>24</v>
      </c>
      <c r="K127">
        <v>0</v>
      </c>
      <c r="L127">
        <v>30</v>
      </c>
      <c r="M127">
        <v>10</v>
      </c>
      <c r="N127">
        <v>150</v>
      </c>
      <c r="O127">
        <v>6</v>
      </c>
      <c r="P127">
        <v>60</v>
      </c>
      <c r="Q127">
        <v>20</v>
      </c>
      <c r="R127">
        <v>0</v>
      </c>
      <c r="S127">
        <v>0</v>
      </c>
      <c r="T127">
        <v>43</v>
      </c>
      <c r="U127">
        <v>7</v>
      </c>
      <c r="V127">
        <v>10</v>
      </c>
      <c r="W127">
        <v>0</v>
      </c>
      <c r="X127">
        <v>25</v>
      </c>
      <c r="Y127">
        <v>0</v>
      </c>
      <c r="Z127" t="str" cm="1">
        <f t="array" ref="Z127">_xlfn.IFS(MAX(V127:Y127)=V127,"Vitamin A",MAX(V127:Y127)=W127,"Vitamin C",MAX(V127:Y127)=X127,"Calcium",MAX(V127:Y127)=Y127,"Iron")</f>
        <v>Calcium</v>
      </c>
    </row>
    <row r="128" spans="1:26" x14ac:dyDescent="0.3">
      <c r="A128" t="s">
        <v>416</v>
      </c>
      <c r="B128" t="s">
        <v>285</v>
      </c>
      <c r="C128" t="s">
        <v>234</v>
      </c>
      <c r="D128">
        <v>340</v>
      </c>
      <c r="E128">
        <v>90</v>
      </c>
      <c r="F128" s="2">
        <f t="shared" si="1"/>
        <v>0.26470588235294118</v>
      </c>
      <c r="G128">
        <v>10</v>
      </c>
      <c r="H128">
        <v>16</v>
      </c>
      <c r="I128">
        <v>6</v>
      </c>
      <c r="J128">
        <v>30</v>
      </c>
      <c r="K128">
        <v>0</v>
      </c>
      <c r="L128">
        <v>30</v>
      </c>
      <c r="M128">
        <v>11</v>
      </c>
      <c r="N128">
        <v>140</v>
      </c>
      <c r="O128">
        <v>6</v>
      </c>
      <c r="P128">
        <v>50</v>
      </c>
      <c r="Q128">
        <v>17</v>
      </c>
      <c r="R128">
        <v>1</v>
      </c>
      <c r="S128">
        <v>4</v>
      </c>
      <c r="T128">
        <v>48</v>
      </c>
      <c r="U128">
        <v>11</v>
      </c>
      <c r="V128">
        <v>10</v>
      </c>
      <c r="W128">
        <v>0</v>
      </c>
      <c r="X128">
        <v>35</v>
      </c>
      <c r="Y128">
        <v>0</v>
      </c>
      <c r="Z128" t="str" cm="1">
        <f t="array" ref="Z128">_xlfn.IFS(MAX(V128:Y128)=V128,"Vitamin A",MAX(V128:Y128)=W128,"Vitamin C",MAX(V128:Y128)=X128,"Calcium",MAX(V128:Y128)=Y128,"Iron")</f>
        <v>Calcium</v>
      </c>
    </row>
    <row r="129" spans="1:26" x14ac:dyDescent="0.3">
      <c r="A129" t="s">
        <v>416</v>
      </c>
      <c r="B129" t="s">
        <v>311</v>
      </c>
      <c r="C129" t="s">
        <v>240</v>
      </c>
      <c r="D129">
        <v>340</v>
      </c>
      <c r="E129">
        <v>100</v>
      </c>
      <c r="F129" s="2">
        <f t="shared" si="1"/>
        <v>0.29411764705882354</v>
      </c>
      <c r="G129">
        <v>11</v>
      </c>
      <c r="H129">
        <v>18</v>
      </c>
      <c r="I129">
        <v>7</v>
      </c>
      <c r="J129">
        <v>34</v>
      </c>
      <c r="K129">
        <v>0</v>
      </c>
      <c r="L129">
        <v>35</v>
      </c>
      <c r="M129">
        <v>12</v>
      </c>
      <c r="N129">
        <v>150</v>
      </c>
      <c r="O129">
        <v>6</v>
      </c>
      <c r="P129">
        <v>49</v>
      </c>
      <c r="Q129">
        <v>16</v>
      </c>
      <c r="R129">
        <v>2</v>
      </c>
      <c r="S129">
        <v>6</v>
      </c>
      <c r="T129">
        <v>42</v>
      </c>
      <c r="U129">
        <v>10</v>
      </c>
      <c r="V129">
        <v>10</v>
      </c>
      <c r="W129">
        <v>0</v>
      </c>
      <c r="X129">
        <v>30</v>
      </c>
      <c r="Y129">
        <v>6</v>
      </c>
      <c r="Z129" t="str" cm="1">
        <f t="array" ref="Z129">_xlfn.IFS(MAX(V129:Y129)=V129,"Vitamin A",MAX(V129:Y129)=W129,"Vitamin C",MAX(V129:Y129)=X129,"Calcium",MAX(V129:Y129)=Y129,"Iron")</f>
        <v>Calcium</v>
      </c>
    </row>
    <row r="130" spans="1:26" x14ac:dyDescent="0.3">
      <c r="A130" t="s">
        <v>416</v>
      </c>
      <c r="B130" t="s">
        <v>327</v>
      </c>
      <c r="C130" t="s">
        <v>234</v>
      </c>
      <c r="D130">
        <v>340</v>
      </c>
      <c r="E130">
        <v>30</v>
      </c>
      <c r="F130" s="2">
        <f t="shared" si="1"/>
        <v>8.8235294117647065E-2</v>
      </c>
      <c r="G130">
        <v>3.5</v>
      </c>
      <c r="H130">
        <v>5</v>
      </c>
      <c r="I130">
        <v>2</v>
      </c>
      <c r="J130">
        <v>11</v>
      </c>
      <c r="K130">
        <v>0</v>
      </c>
      <c r="L130">
        <v>15</v>
      </c>
      <c r="M130">
        <v>6</v>
      </c>
      <c r="N130">
        <v>220</v>
      </c>
      <c r="O130">
        <v>9</v>
      </c>
      <c r="P130">
        <v>61</v>
      </c>
      <c r="Q130">
        <v>20</v>
      </c>
      <c r="R130">
        <v>1</v>
      </c>
      <c r="S130">
        <v>4</v>
      </c>
      <c r="T130">
        <v>57</v>
      </c>
      <c r="U130">
        <v>14</v>
      </c>
      <c r="V130">
        <v>20</v>
      </c>
      <c r="W130">
        <v>0</v>
      </c>
      <c r="X130">
        <v>50</v>
      </c>
      <c r="Y130">
        <v>6</v>
      </c>
      <c r="Z130" t="str" cm="1">
        <f t="array" ref="Z130">_xlfn.IFS(MAX(V130:Y130)=V130,"Vitamin A",MAX(V130:Y130)=W130,"Vitamin C",MAX(V130:Y130)=X130,"Calcium",MAX(V130:Y130)=Y130,"Iron")</f>
        <v>Calcium</v>
      </c>
    </row>
    <row r="131" spans="1:26" x14ac:dyDescent="0.3">
      <c r="A131" t="s">
        <v>416</v>
      </c>
      <c r="B131" t="s">
        <v>352</v>
      </c>
      <c r="C131" t="s">
        <v>234</v>
      </c>
      <c r="D131">
        <v>340</v>
      </c>
      <c r="E131">
        <v>110</v>
      </c>
      <c r="F131" s="2">
        <f t="shared" ref="F131:F194" si="2">IFERROR(E131/D131,0)</f>
        <v>0.3235294117647059</v>
      </c>
      <c r="G131">
        <v>13</v>
      </c>
      <c r="H131">
        <v>19</v>
      </c>
      <c r="I131">
        <v>7</v>
      </c>
      <c r="J131">
        <v>37</v>
      </c>
      <c r="K131">
        <v>0</v>
      </c>
      <c r="L131">
        <v>40</v>
      </c>
      <c r="M131">
        <v>13</v>
      </c>
      <c r="N131">
        <v>170</v>
      </c>
      <c r="O131">
        <v>7</v>
      </c>
      <c r="P131">
        <v>46</v>
      </c>
      <c r="Q131">
        <v>15</v>
      </c>
      <c r="R131">
        <v>1</v>
      </c>
      <c r="S131">
        <v>2</v>
      </c>
      <c r="T131">
        <v>41</v>
      </c>
      <c r="U131">
        <v>9</v>
      </c>
      <c r="V131">
        <v>10</v>
      </c>
      <c r="W131">
        <v>0</v>
      </c>
      <c r="X131">
        <v>30</v>
      </c>
      <c r="Y131">
        <v>2</v>
      </c>
      <c r="Z131" t="str" cm="1">
        <f t="array" ref="Z131">_xlfn.IFS(MAX(V131:Y131)=V131,"Vitamin A",MAX(V131:Y131)=W131,"Vitamin C",MAX(V131:Y131)=X131,"Calcium",MAX(V131:Y131)=Y131,"Iron")</f>
        <v>Calcium</v>
      </c>
    </row>
    <row r="132" spans="1:26" x14ac:dyDescent="0.3">
      <c r="A132" t="s">
        <v>415</v>
      </c>
      <c r="B132" t="s">
        <v>369</v>
      </c>
      <c r="C132" t="s">
        <v>265</v>
      </c>
      <c r="D132">
        <v>340</v>
      </c>
      <c r="E132">
        <v>10</v>
      </c>
      <c r="F132" s="2">
        <f t="shared" si="2"/>
        <v>2.9411764705882353E-2</v>
      </c>
      <c r="G132">
        <v>1</v>
      </c>
      <c r="H132">
        <v>2</v>
      </c>
      <c r="I132">
        <v>0.5</v>
      </c>
      <c r="J132">
        <v>3</v>
      </c>
      <c r="K132">
        <v>0</v>
      </c>
      <c r="L132">
        <v>5</v>
      </c>
      <c r="M132">
        <v>2</v>
      </c>
      <c r="N132">
        <v>65</v>
      </c>
      <c r="O132">
        <v>3</v>
      </c>
      <c r="P132">
        <v>79</v>
      </c>
      <c r="Q132">
        <v>26</v>
      </c>
      <c r="R132">
        <v>5</v>
      </c>
      <c r="S132">
        <v>19</v>
      </c>
      <c r="T132">
        <v>70</v>
      </c>
      <c r="U132">
        <v>4</v>
      </c>
      <c r="V132">
        <v>0</v>
      </c>
      <c r="W132">
        <v>4</v>
      </c>
      <c r="X132">
        <v>10</v>
      </c>
      <c r="Y132">
        <v>2</v>
      </c>
      <c r="Z132" t="str" cm="1">
        <f t="array" ref="Z132">_xlfn.IFS(MAX(V132:Y132)=V132,"Vitamin A",MAX(V132:Y132)=W132,"Vitamin C",MAX(V132:Y132)=X132,"Calcium",MAX(V132:Y132)=Y132,"Iron")</f>
        <v>Calcium</v>
      </c>
    </row>
    <row r="133" spans="1:26" x14ac:dyDescent="0.3">
      <c r="A133" t="s">
        <v>415</v>
      </c>
      <c r="B133" t="s">
        <v>375</v>
      </c>
      <c r="C133" t="s">
        <v>265</v>
      </c>
      <c r="D133">
        <v>340</v>
      </c>
      <c r="E133">
        <v>10</v>
      </c>
      <c r="F133" s="2">
        <f t="shared" si="2"/>
        <v>2.9411764705882353E-2</v>
      </c>
      <c r="G133">
        <v>1</v>
      </c>
      <c r="H133">
        <v>2</v>
      </c>
      <c r="I133">
        <v>0.5</v>
      </c>
      <c r="J133">
        <v>3</v>
      </c>
      <c r="K133">
        <v>0</v>
      </c>
      <c r="L133">
        <v>5</v>
      </c>
      <c r="M133">
        <v>2</v>
      </c>
      <c r="N133">
        <v>60</v>
      </c>
      <c r="O133">
        <v>3</v>
      </c>
      <c r="P133">
        <v>78</v>
      </c>
      <c r="Q133">
        <v>26</v>
      </c>
      <c r="R133">
        <v>2</v>
      </c>
      <c r="S133">
        <v>6</v>
      </c>
      <c r="T133">
        <v>72</v>
      </c>
      <c r="U133">
        <v>4</v>
      </c>
      <c r="V133">
        <v>50</v>
      </c>
      <c r="W133">
        <v>30</v>
      </c>
      <c r="X133">
        <v>10</v>
      </c>
      <c r="Y133">
        <v>2</v>
      </c>
      <c r="Z133" t="str" cm="1">
        <f t="array" ref="Z133">_xlfn.IFS(MAX(V133:Y133)=V133,"Vitamin A",MAX(V133:Y133)=W133,"Vitamin C",MAX(V133:Y133)=X133,"Calcium",MAX(V133:Y133)=Y133,"Iron")</f>
        <v>Vitamin A</v>
      </c>
    </row>
    <row r="134" spans="1:26" x14ac:dyDescent="0.3">
      <c r="A134" t="s">
        <v>415</v>
      </c>
      <c r="B134" t="s">
        <v>396</v>
      </c>
      <c r="C134" t="s">
        <v>126</v>
      </c>
      <c r="D134">
        <v>340</v>
      </c>
      <c r="E134">
        <v>100</v>
      </c>
      <c r="F134" s="2">
        <f t="shared" si="2"/>
        <v>0.29411764705882354</v>
      </c>
      <c r="G134">
        <v>11</v>
      </c>
      <c r="H134">
        <v>17</v>
      </c>
      <c r="I134">
        <v>6</v>
      </c>
      <c r="J134">
        <v>29</v>
      </c>
      <c r="K134">
        <v>0</v>
      </c>
      <c r="L134">
        <v>30</v>
      </c>
      <c r="M134">
        <v>9</v>
      </c>
      <c r="N134">
        <v>190</v>
      </c>
      <c r="O134">
        <v>8</v>
      </c>
      <c r="P134">
        <v>53</v>
      </c>
      <c r="Q134">
        <v>18</v>
      </c>
      <c r="R134">
        <v>1</v>
      </c>
      <c r="S134">
        <v>2</v>
      </c>
      <c r="T134">
        <v>43</v>
      </c>
      <c r="U134">
        <v>8</v>
      </c>
      <c r="V134">
        <v>10</v>
      </c>
      <c r="W134">
        <v>0</v>
      </c>
      <c r="X134">
        <v>25</v>
      </c>
      <c r="Y134">
        <v>6</v>
      </c>
      <c r="Z134" t="str" cm="1">
        <f t="array" ref="Z134">_xlfn.IFS(MAX(V134:Y134)=V134,"Vitamin A",MAX(V134:Y134)=W134,"Vitamin C",MAX(V134:Y134)=X134,"Calcium",MAX(V134:Y134)=Y134,"Iron")</f>
        <v>Calcium</v>
      </c>
    </row>
    <row r="135" spans="1:26" x14ac:dyDescent="0.3">
      <c r="A135" t="s">
        <v>417</v>
      </c>
      <c r="B135" t="s">
        <v>199</v>
      </c>
      <c r="C135" t="s">
        <v>198</v>
      </c>
      <c r="D135">
        <v>330</v>
      </c>
      <c r="E135">
        <v>130</v>
      </c>
      <c r="F135" s="2">
        <f t="shared" si="2"/>
        <v>0.39393939393939392</v>
      </c>
      <c r="G135">
        <v>15</v>
      </c>
      <c r="H135">
        <v>23</v>
      </c>
      <c r="I135">
        <v>4.5</v>
      </c>
      <c r="J135">
        <v>22</v>
      </c>
      <c r="K135">
        <v>0</v>
      </c>
      <c r="L135">
        <v>35</v>
      </c>
      <c r="M135">
        <v>11</v>
      </c>
      <c r="N135">
        <v>730</v>
      </c>
      <c r="O135">
        <v>30</v>
      </c>
      <c r="P135">
        <v>34</v>
      </c>
      <c r="Q135">
        <v>11</v>
      </c>
      <c r="R135">
        <v>1</v>
      </c>
      <c r="S135">
        <v>5</v>
      </c>
      <c r="T135">
        <v>3</v>
      </c>
      <c r="U135">
        <v>14</v>
      </c>
      <c r="V135">
        <v>2</v>
      </c>
      <c r="W135">
        <v>0</v>
      </c>
      <c r="X135">
        <v>10</v>
      </c>
      <c r="Y135">
        <v>10</v>
      </c>
      <c r="Z135" t="str" cm="1">
        <f t="array" ref="Z135">_xlfn.IFS(MAX(V135:Y135)=V135,"Vitamin A",MAX(V135:Y135)=W135,"Vitamin C",MAX(V135:Y135)=X135,"Calcium",MAX(V135:Y135)=Y135,"Iron")</f>
        <v>Calcium</v>
      </c>
    </row>
    <row r="136" spans="1:26" x14ac:dyDescent="0.3">
      <c r="A136" t="s">
        <v>219</v>
      </c>
      <c r="B136" t="s">
        <v>227</v>
      </c>
      <c r="C136" t="s">
        <v>228</v>
      </c>
      <c r="D136">
        <v>330</v>
      </c>
      <c r="E136">
        <v>80</v>
      </c>
      <c r="F136" s="2">
        <f t="shared" si="2"/>
        <v>0.24242424242424243</v>
      </c>
      <c r="G136">
        <v>9</v>
      </c>
      <c r="H136">
        <v>14</v>
      </c>
      <c r="I136">
        <v>7</v>
      </c>
      <c r="J136">
        <v>34</v>
      </c>
      <c r="K136">
        <v>0</v>
      </c>
      <c r="L136">
        <v>25</v>
      </c>
      <c r="M136">
        <v>8</v>
      </c>
      <c r="N136">
        <v>170</v>
      </c>
      <c r="O136">
        <v>7</v>
      </c>
      <c r="P136">
        <v>53</v>
      </c>
      <c r="Q136">
        <v>18</v>
      </c>
      <c r="R136">
        <v>1</v>
      </c>
      <c r="S136">
        <v>3</v>
      </c>
      <c r="T136">
        <v>48</v>
      </c>
      <c r="U136">
        <v>8</v>
      </c>
      <c r="V136">
        <v>8</v>
      </c>
      <c r="W136">
        <v>0</v>
      </c>
      <c r="X136">
        <v>25</v>
      </c>
      <c r="Y136">
        <v>8</v>
      </c>
      <c r="Z136" t="str" cm="1">
        <f t="array" ref="Z136">_xlfn.IFS(MAX(V136:Y136)=V136,"Vitamin A",MAX(V136:Y136)=W136,"Vitamin C",MAX(V136:Y136)=X136,"Calcium",MAX(V136:Y136)=Y136,"Iron")</f>
        <v>Calcium</v>
      </c>
    </row>
    <row r="137" spans="1:26" x14ac:dyDescent="0.3">
      <c r="A137" t="s">
        <v>416</v>
      </c>
      <c r="B137" t="s">
        <v>288</v>
      </c>
      <c r="C137" t="s">
        <v>234</v>
      </c>
      <c r="D137">
        <v>330</v>
      </c>
      <c r="E137">
        <v>90</v>
      </c>
      <c r="F137" s="2">
        <f t="shared" si="2"/>
        <v>0.27272727272727271</v>
      </c>
      <c r="G137">
        <v>10</v>
      </c>
      <c r="H137">
        <v>16</v>
      </c>
      <c r="I137">
        <v>6</v>
      </c>
      <c r="J137">
        <v>30</v>
      </c>
      <c r="K137">
        <v>0</v>
      </c>
      <c r="L137">
        <v>30</v>
      </c>
      <c r="M137">
        <v>11</v>
      </c>
      <c r="N137">
        <v>140</v>
      </c>
      <c r="O137">
        <v>6</v>
      </c>
      <c r="P137">
        <v>50</v>
      </c>
      <c r="Q137">
        <v>17</v>
      </c>
      <c r="R137">
        <v>1</v>
      </c>
      <c r="S137">
        <v>4</v>
      </c>
      <c r="T137">
        <v>47</v>
      </c>
      <c r="U137">
        <v>11</v>
      </c>
      <c r="V137">
        <v>10</v>
      </c>
      <c r="W137">
        <v>0</v>
      </c>
      <c r="X137">
        <v>35</v>
      </c>
      <c r="Y137">
        <v>0</v>
      </c>
      <c r="Z137" t="str" cm="1">
        <f t="array" ref="Z137">_xlfn.IFS(MAX(V137:Y137)=V137,"Vitamin A",MAX(V137:Y137)=W137,"Vitamin C",MAX(V137:Y137)=X137,"Calcium",MAX(V137:Y137)=Y137,"Iron")</f>
        <v>Calcium</v>
      </c>
    </row>
    <row r="138" spans="1:26" x14ac:dyDescent="0.3">
      <c r="A138" t="s">
        <v>416</v>
      </c>
      <c r="B138" t="s">
        <v>291</v>
      </c>
      <c r="C138" t="s">
        <v>234</v>
      </c>
      <c r="D138">
        <v>330</v>
      </c>
      <c r="E138">
        <v>90</v>
      </c>
      <c r="F138" s="2">
        <f t="shared" si="2"/>
        <v>0.27272727272727271</v>
      </c>
      <c r="G138">
        <v>10</v>
      </c>
      <c r="H138">
        <v>16</v>
      </c>
      <c r="I138">
        <v>6</v>
      </c>
      <c r="J138">
        <v>30</v>
      </c>
      <c r="K138">
        <v>0</v>
      </c>
      <c r="L138">
        <v>30</v>
      </c>
      <c r="M138">
        <v>11</v>
      </c>
      <c r="N138">
        <v>140</v>
      </c>
      <c r="O138">
        <v>6</v>
      </c>
      <c r="P138">
        <v>48</v>
      </c>
      <c r="Q138">
        <v>16</v>
      </c>
      <c r="R138">
        <v>1</v>
      </c>
      <c r="S138">
        <v>4</v>
      </c>
      <c r="T138">
        <v>45</v>
      </c>
      <c r="U138">
        <v>11</v>
      </c>
      <c r="V138">
        <v>10</v>
      </c>
      <c r="W138">
        <v>0</v>
      </c>
      <c r="X138">
        <v>35</v>
      </c>
      <c r="Y138">
        <v>2</v>
      </c>
      <c r="Z138" t="str" cm="1">
        <f t="array" ref="Z138">_xlfn.IFS(MAX(V138:Y138)=V138,"Vitamin A",MAX(V138:Y138)=W138,"Vitamin C",MAX(V138:Y138)=X138,"Calcium",MAX(V138:Y138)=Y138,"Iron")</f>
        <v>Calcium</v>
      </c>
    </row>
    <row r="139" spans="1:26" x14ac:dyDescent="0.3">
      <c r="A139" t="s">
        <v>416</v>
      </c>
      <c r="B139" t="s">
        <v>295</v>
      </c>
      <c r="C139" t="s">
        <v>283</v>
      </c>
      <c r="D139">
        <v>330</v>
      </c>
      <c r="E139">
        <v>120</v>
      </c>
      <c r="F139" s="2">
        <f t="shared" si="2"/>
        <v>0.36363636363636365</v>
      </c>
      <c r="G139">
        <v>14</v>
      </c>
      <c r="H139">
        <v>21</v>
      </c>
      <c r="I139">
        <v>8</v>
      </c>
      <c r="J139">
        <v>39</v>
      </c>
      <c r="K139">
        <v>0</v>
      </c>
      <c r="L139">
        <v>40</v>
      </c>
      <c r="M139">
        <v>14</v>
      </c>
      <c r="N139">
        <v>240</v>
      </c>
      <c r="O139">
        <v>10</v>
      </c>
      <c r="P139">
        <v>37</v>
      </c>
      <c r="Q139">
        <v>12</v>
      </c>
      <c r="R139">
        <v>2</v>
      </c>
      <c r="S139">
        <v>7</v>
      </c>
      <c r="T139">
        <v>20</v>
      </c>
      <c r="U139">
        <v>15</v>
      </c>
      <c r="V139">
        <v>15</v>
      </c>
      <c r="W139">
        <v>0</v>
      </c>
      <c r="X139">
        <v>50</v>
      </c>
      <c r="Y139">
        <v>2</v>
      </c>
      <c r="Z139" t="str" cm="1">
        <f t="array" ref="Z139">_xlfn.IFS(MAX(V139:Y139)=V139,"Vitamin A",MAX(V139:Y139)=W139,"Vitamin C",MAX(V139:Y139)=X139,"Calcium",MAX(V139:Y139)=Y139,"Iron")</f>
        <v>Calcium</v>
      </c>
    </row>
    <row r="140" spans="1:26" x14ac:dyDescent="0.3">
      <c r="A140" t="s">
        <v>416</v>
      </c>
      <c r="B140" t="s">
        <v>315</v>
      </c>
      <c r="C140" t="s">
        <v>234</v>
      </c>
      <c r="D140">
        <v>330</v>
      </c>
      <c r="E140">
        <v>30</v>
      </c>
      <c r="F140" s="2">
        <f t="shared" si="2"/>
        <v>9.0909090909090912E-2</v>
      </c>
      <c r="G140">
        <v>3.5</v>
      </c>
      <c r="H140">
        <v>6</v>
      </c>
      <c r="I140">
        <v>2</v>
      </c>
      <c r="J140">
        <v>11</v>
      </c>
      <c r="K140">
        <v>0</v>
      </c>
      <c r="L140">
        <v>15</v>
      </c>
      <c r="M140">
        <v>5</v>
      </c>
      <c r="N140">
        <v>190</v>
      </c>
      <c r="O140">
        <v>8</v>
      </c>
      <c r="P140">
        <v>60</v>
      </c>
      <c r="Q140">
        <v>20</v>
      </c>
      <c r="R140">
        <v>2</v>
      </c>
      <c r="S140">
        <v>8</v>
      </c>
      <c r="T140">
        <v>53</v>
      </c>
      <c r="U140">
        <v>13</v>
      </c>
      <c r="V140">
        <v>15</v>
      </c>
      <c r="W140">
        <v>0</v>
      </c>
      <c r="X140">
        <v>40</v>
      </c>
      <c r="Y140">
        <v>6</v>
      </c>
      <c r="Z140" t="str" cm="1">
        <f t="array" ref="Z140">_xlfn.IFS(MAX(V140:Y140)=V140,"Vitamin A",MAX(V140:Y140)=W140,"Vitamin C",MAX(V140:Y140)=X140,"Calcium",MAX(V140:Y140)=Y140,"Iron")</f>
        <v>Calcium</v>
      </c>
    </row>
    <row r="141" spans="1:26" x14ac:dyDescent="0.3">
      <c r="A141" t="s">
        <v>415</v>
      </c>
      <c r="B141" t="s">
        <v>372</v>
      </c>
      <c r="C141" t="s">
        <v>265</v>
      </c>
      <c r="D141">
        <v>330</v>
      </c>
      <c r="E141">
        <v>10</v>
      </c>
      <c r="F141" s="2">
        <f t="shared" si="2"/>
        <v>3.0303030303030304E-2</v>
      </c>
      <c r="G141">
        <v>1</v>
      </c>
      <c r="H141">
        <v>2</v>
      </c>
      <c r="I141">
        <v>0.5</v>
      </c>
      <c r="J141">
        <v>3</v>
      </c>
      <c r="K141">
        <v>0</v>
      </c>
      <c r="L141">
        <v>5</v>
      </c>
      <c r="M141">
        <v>2</v>
      </c>
      <c r="N141">
        <v>80</v>
      </c>
      <c r="O141">
        <v>3</v>
      </c>
      <c r="P141">
        <v>74</v>
      </c>
      <c r="Q141">
        <v>25</v>
      </c>
      <c r="R141">
        <v>4</v>
      </c>
      <c r="S141">
        <v>16</v>
      </c>
      <c r="T141">
        <v>70</v>
      </c>
      <c r="U141">
        <v>5</v>
      </c>
      <c r="V141">
        <v>0</v>
      </c>
      <c r="W141">
        <v>45</v>
      </c>
      <c r="X141">
        <v>10</v>
      </c>
      <c r="Y141">
        <v>4</v>
      </c>
      <c r="Z141" t="str" cm="1">
        <f t="array" ref="Z141">_xlfn.IFS(MAX(V141:Y141)=V141,"Vitamin A",MAX(V141:Y141)=W141,"Vitamin C",MAX(V141:Y141)=X141,"Calcium",MAX(V141:Y141)=Y141,"Iron")</f>
        <v>Vitamin C</v>
      </c>
    </row>
    <row r="142" spans="1:26" x14ac:dyDescent="0.3">
      <c r="A142" t="s">
        <v>416</v>
      </c>
      <c r="B142" t="s">
        <v>317</v>
      </c>
      <c r="C142" t="s">
        <v>240</v>
      </c>
      <c r="D142">
        <v>320</v>
      </c>
      <c r="E142">
        <v>100</v>
      </c>
      <c r="F142" s="2">
        <f t="shared" si="2"/>
        <v>0.3125</v>
      </c>
      <c r="G142">
        <v>11</v>
      </c>
      <c r="H142">
        <v>17</v>
      </c>
      <c r="I142">
        <v>7</v>
      </c>
      <c r="J142">
        <v>33</v>
      </c>
      <c r="K142">
        <v>0</v>
      </c>
      <c r="L142">
        <v>35</v>
      </c>
      <c r="M142">
        <v>12</v>
      </c>
      <c r="N142">
        <v>170</v>
      </c>
      <c r="O142">
        <v>7</v>
      </c>
      <c r="P142">
        <v>45</v>
      </c>
      <c r="Q142">
        <v>15</v>
      </c>
      <c r="R142">
        <v>1</v>
      </c>
      <c r="S142">
        <v>3</v>
      </c>
      <c r="T142">
        <v>40</v>
      </c>
      <c r="U142">
        <v>10</v>
      </c>
      <c r="V142">
        <v>10</v>
      </c>
      <c r="W142">
        <v>0</v>
      </c>
      <c r="X142">
        <v>30</v>
      </c>
      <c r="Y142">
        <v>2</v>
      </c>
      <c r="Z142" t="str" cm="1">
        <f t="array" ref="Z142">_xlfn.IFS(MAX(V142:Y142)=V142,"Vitamin A",MAX(V142:Y142)=W142,"Vitamin C",MAX(V142:Y142)=X142,"Calcium",MAX(V142:Y142)=Y142,"Iron")</f>
        <v>Calcium</v>
      </c>
    </row>
    <row r="143" spans="1:26" x14ac:dyDescent="0.3">
      <c r="A143" t="s">
        <v>416</v>
      </c>
      <c r="B143" t="s">
        <v>301</v>
      </c>
      <c r="C143" t="s">
        <v>283</v>
      </c>
      <c r="D143">
        <v>310</v>
      </c>
      <c r="E143">
        <v>0</v>
      </c>
      <c r="F143" s="2">
        <f t="shared" si="2"/>
        <v>0</v>
      </c>
      <c r="G143">
        <v>0.5</v>
      </c>
      <c r="H143">
        <v>1</v>
      </c>
      <c r="I143">
        <v>0</v>
      </c>
      <c r="J143">
        <v>0</v>
      </c>
      <c r="K143">
        <v>0</v>
      </c>
      <c r="L143">
        <v>10</v>
      </c>
      <c r="M143">
        <v>3</v>
      </c>
      <c r="N143">
        <v>180</v>
      </c>
      <c r="O143">
        <v>7</v>
      </c>
      <c r="P143">
        <v>63</v>
      </c>
      <c r="Q143">
        <v>21</v>
      </c>
      <c r="R143">
        <v>1</v>
      </c>
      <c r="S143">
        <v>6</v>
      </c>
      <c r="T143">
        <v>59</v>
      </c>
      <c r="U143">
        <v>16</v>
      </c>
      <c r="V143">
        <v>15</v>
      </c>
      <c r="W143">
        <v>0</v>
      </c>
      <c r="X143">
        <v>50</v>
      </c>
      <c r="Y143">
        <v>2</v>
      </c>
      <c r="Z143" t="str" cm="1">
        <f t="array" ref="Z143">_xlfn.IFS(MAX(V143:Y143)=V143,"Vitamin A",MAX(V143:Y143)=W143,"Vitamin C",MAX(V143:Y143)=X143,"Calcium",MAX(V143:Y143)=Y143,"Iron")</f>
        <v>Calcium</v>
      </c>
    </row>
    <row r="144" spans="1:26" x14ac:dyDescent="0.3">
      <c r="A144" t="s">
        <v>416</v>
      </c>
      <c r="B144" t="s">
        <v>304</v>
      </c>
      <c r="C144" t="s">
        <v>283</v>
      </c>
      <c r="D144">
        <v>310</v>
      </c>
      <c r="E144">
        <v>0</v>
      </c>
      <c r="F144" s="2">
        <f t="shared" si="2"/>
        <v>0</v>
      </c>
      <c r="G144">
        <v>0.5</v>
      </c>
      <c r="H144">
        <v>1</v>
      </c>
      <c r="I144">
        <v>0</v>
      </c>
      <c r="J144">
        <v>0</v>
      </c>
      <c r="K144">
        <v>0</v>
      </c>
      <c r="L144">
        <v>10</v>
      </c>
      <c r="M144">
        <v>3</v>
      </c>
      <c r="N144">
        <v>180</v>
      </c>
      <c r="O144">
        <v>7</v>
      </c>
      <c r="P144">
        <v>63</v>
      </c>
      <c r="Q144">
        <v>21</v>
      </c>
      <c r="R144">
        <v>1</v>
      </c>
      <c r="S144">
        <v>6</v>
      </c>
      <c r="T144">
        <v>59</v>
      </c>
      <c r="U144">
        <v>16</v>
      </c>
      <c r="V144">
        <v>15</v>
      </c>
      <c r="W144">
        <v>0</v>
      </c>
      <c r="X144">
        <v>50</v>
      </c>
      <c r="Y144">
        <v>2</v>
      </c>
      <c r="Z144" t="str" cm="1">
        <f t="array" ref="Z144">_xlfn.IFS(MAX(V144:Y144)=V144,"Vitamin A",MAX(V144:Y144)=W144,"Vitamin C",MAX(V144:Y144)=X144,"Calcium",MAX(V144:Y144)=Y144,"Iron")</f>
        <v>Calcium</v>
      </c>
    </row>
    <row r="145" spans="1:26" x14ac:dyDescent="0.3">
      <c r="A145" t="s">
        <v>416</v>
      </c>
      <c r="B145" t="s">
        <v>321</v>
      </c>
      <c r="C145" t="s">
        <v>234</v>
      </c>
      <c r="D145">
        <v>310</v>
      </c>
      <c r="E145">
        <v>30</v>
      </c>
      <c r="F145" s="2">
        <f t="shared" si="2"/>
        <v>9.6774193548387094E-2</v>
      </c>
      <c r="G145">
        <v>3.5</v>
      </c>
      <c r="H145">
        <v>5</v>
      </c>
      <c r="I145">
        <v>2</v>
      </c>
      <c r="J145">
        <v>11</v>
      </c>
      <c r="K145">
        <v>0</v>
      </c>
      <c r="L145">
        <v>15</v>
      </c>
      <c r="M145">
        <v>5</v>
      </c>
      <c r="N145">
        <v>210</v>
      </c>
      <c r="O145">
        <v>9</v>
      </c>
      <c r="P145">
        <v>56</v>
      </c>
      <c r="Q145">
        <v>19</v>
      </c>
      <c r="R145">
        <v>1</v>
      </c>
      <c r="S145">
        <v>4</v>
      </c>
      <c r="T145">
        <v>51</v>
      </c>
      <c r="U145">
        <v>13</v>
      </c>
      <c r="V145">
        <v>15</v>
      </c>
      <c r="W145">
        <v>0</v>
      </c>
      <c r="X145">
        <v>40</v>
      </c>
      <c r="Y145">
        <v>2</v>
      </c>
      <c r="Z145" t="str" cm="1">
        <f t="array" ref="Z145">_xlfn.IFS(MAX(V145:Y145)=V145,"Vitamin A",MAX(V145:Y145)=W145,"Vitamin C",MAX(V145:Y145)=X145,"Calcium",MAX(V145:Y145)=Y145,"Iron")</f>
        <v>Calcium</v>
      </c>
    </row>
    <row r="146" spans="1:26" x14ac:dyDescent="0.3">
      <c r="A146" t="s">
        <v>24</v>
      </c>
      <c r="B146" t="s">
        <v>25</v>
      </c>
      <c r="C146" t="s">
        <v>26</v>
      </c>
      <c r="D146">
        <v>300</v>
      </c>
      <c r="E146">
        <v>120</v>
      </c>
      <c r="F146" s="2">
        <f t="shared" si="2"/>
        <v>0.4</v>
      </c>
      <c r="G146">
        <v>13</v>
      </c>
      <c r="H146">
        <v>20</v>
      </c>
      <c r="I146">
        <v>5</v>
      </c>
      <c r="J146">
        <v>25</v>
      </c>
      <c r="K146">
        <v>0</v>
      </c>
      <c r="L146">
        <v>260</v>
      </c>
      <c r="M146">
        <v>87</v>
      </c>
      <c r="N146">
        <v>750</v>
      </c>
      <c r="O146">
        <v>31</v>
      </c>
      <c r="P146">
        <v>31</v>
      </c>
      <c r="Q146">
        <v>10</v>
      </c>
      <c r="R146">
        <v>4</v>
      </c>
      <c r="S146">
        <v>17</v>
      </c>
      <c r="T146">
        <v>3</v>
      </c>
      <c r="U146">
        <v>17</v>
      </c>
      <c r="V146">
        <v>10</v>
      </c>
      <c r="W146">
        <v>0</v>
      </c>
      <c r="X146">
        <v>25</v>
      </c>
      <c r="Y146">
        <v>15</v>
      </c>
      <c r="Z146" t="str" cm="1">
        <f t="array" ref="Z146">_xlfn.IFS(MAX(V146:Y146)=V146,"Vitamin A",MAX(V146:Y146)=W146,"Vitamin C",MAX(V146:Y146)=X146,"Calcium",MAX(V146:Y146)=Y146,"Iron")</f>
        <v>Calcium</v>
      </c>
    </row>
    <row r="147" spans="1:26" x14ac:dyDescent="0.3">
      <c r="A147" t="s">
        <v>24</v>
      </c>
      <c r="B147" t="s">
        <v>95</v>
      </c>
      <c r="C147" t="s">
        <v>30</v>
      </c>
      <c r="D147">
        <v>300</v>
      </c>
      <c r="E147">
        <v>150</v>
      </c>
      <c r="F147" s="2">
        <f t="shared" si="2"/>
        <v>0.5</v>
      </c>
      <c r="G147">
        <v>16</v>
      </c>
      <c r="H147">
        <v>25</v>
      </c>
      <c r="I147">
        <v>7</v>
      </c>
      <c r="J147">
        <v>33</v>
      </c>
      <c r="K147">
        <v>0</v>
      </c>
      <c r="L147">
        <v>115</v>
      </c>
      <c r="M147">
        <v>38</v>
      </c>
      <c r="N147">
        <v>790</v>
      </c>
      <c r="O147">
        <v>33</v>
      </c>
      <c r="P147">
        <v>26</v>
      </c>
      <c r="Q147">
        <v>9</v>
      </c>
      <c r="R147">
        <v>1</v>
      </c>
      <c r="S147">
        <v>5</v>
      </c>
      <c r="T147">
        <v>2</v>
      </c>
      <c r="U147">
        <v>12</v>
      </c>
      <c r="V147">
        <v>10</v>
      </c>
      <c r="W147">
        <v>2</v>
      </c>
      <c r="X147">
        <v>15</v>
      </c>
      <c r="Y147">
        <v>15</v>
      </c>
      <c r="Z147" t="str" cm="1">
        <f t="array" ref="Z147">_xlfn.IFS(MAX(V147:Y147)=V147,"Vitamin A",MAX(V147:Y147)=W147,"Vitamin C",MAX(V147:Y147)=X147,"Calcium",MAX(V147:Y147)=Y147,"Iron")</f>
        <v>Calcium</v>
      </c>
    </row>
    <row r="148" spans="1:26" x14ac:dyDescent="0.3">
      <c r="A148" t="s">
        <v>416</v>
      </c>
      <c r="B148" t="s">
        <v>307</v>
      </c>
      <c r="C148" t="s">
        <v>283</v>
      </c>
      <c r="D148">
        <v>300</v>
      </c>
      <c r="E148">
        <v>0</v>
      </c>
      <c r="F148" s="2">
        <f t="shared" si="2"/>
        <v>0</v>
      </c>
      <c r="G148">
        <v>0.5</v>
      </c>
      <c r="H148">
        <v>1</v>
      </c>
      <c r="I148">
        <v>0</v>
      </c>
      <c r="J148">
        <v>0</v>
      </c>
      <c r="K148">
        <v>0</v>
      </c>
      <c r="L148">
        <v>10</v>
      </c>
      <c r="M148">
        <v>3</v>
      </c>
      <c r="N148">
        <v>180</v>
      </c>
      <c r="O148">
        <v>8</v>
      </c>
      <c r="P148">
        <v>60</v>
      </c>
      <c r="Q148">
        <v>20</v>
      </c>
      <c r="R148">
        <v>1</v>
      </c>
      <c r="S148">
        <v>6</v>
      </c>
      <c r="T148">
        <v>56</v>
      </c>
      <c r="U148">
        <v>16</v>
      </c>
      <c r="V148">
        <v>15</v>
      </c>
      <c r="W148">
        <v>0</v>
      </c>
      <c r="X148">
        <v>50</v>
      </c>
      <c r="Y148">
        <v>2</v>
      </c>
      <c r="Z148" t="str" cm="1">
        <f t="array" ref="Z148">_xlfn.IFS(MAX(V148:Y148)=V148,"Vitamin A",MAX(V148:Y148)=W148,"Vitamin C",MAX(V148:Y148)=X148,"Calcium",MAX(V148:Y148)=Y148,"Iron")</f>
        <v>Calcium</v>
      </c>
    </row>
    <row r="149" spans="1:26" x14ac:dyDescent="0.3">
      <c r="A149" t="s">
        <v>24</v>
      </c>
      <c r="B149" t="s">
        <v>100</v>
      </c>
      <c r="C149" t="s">
        <v>101</v>
      </c>
      <c r="D149">
        <v>290</v>
      </c>
      <c r="E149">
        <v>35</v>
      </c>
      <c r="F149" s="2">
        <f t="shared" si="2"/>
        <v>0.1206896551724138</v>
      </c>
      <c r="G149">
        <v>4</v>
      </c>
      <c r="H149">
        <v>6</v>
      </c>
      <c r="I149">
        <v>1.5</v>
      </c>
      <c r="J149">
        <v>8</v>
      </c>
      <c r="K149">
        <v>0</v>
      </c>
      <c r="L149">
        <v>5</v>
      </c>
      <c r="M149">
        <v>2</v>
      </c>
      <c r="N149">
        <v>160</v>
      </c>
      <c r="O149">
        <v>7</v>
      </c>
      <c r="P149">
        <v>58</v>
      </c>
      <c r="Q149">
        <v>19</v>
      </c>
      <c r="R149">
        <v>5</v>
      </c>
      <c r="S149">
        <v>19</v>
      </c>
      <c r="T149">
        <v>32</v>
      </c>
      <c r="U149">
        <v>5</v>
      </c>
      <c r="V149">
        <v>2</v>
      </c>
      <c r="W149">
        <v>130</v>
      </c>
      <c r="X149">
        <v>10</v>
      </c>
      <c r="Y149">
        <v>10</v>
      </c>
      <c r="Z149" t="str" cm="1">
        <f t="array" ref="Z149">_xlfn.IFS(MAX(V149:Y149)=V149,"Vitamin A",MAX(V149:Y149)=W149,"Vitamin C",MAX(V149:Y149)=X149,"Calcium",MAX(V149:Y149)=Y149,"Iron")</f>
        <v>Vitamin C</v>
      </c>
    </row>
    <row r="150" spans="1:26" x14ac:dyDescent="0.3">
      <c r="A150" t="s">
        <v>413</v>
      </c>
      <c r="B150" t="s">
        <v>117</v>
      </c>
      <c r="C150" t="s">
        <v>118</v>
      </c>
      <c r="D150">
        <v>290</v>
      </c>
      <c r="E150">
        <v>100</v>
      </c>
      <c r="F150" s="2">
        <f t="shared" si="2"/>
        <v>0.34482758620689657</v>
      </c>
      <c r="G150">
        <v>11</v>
      </c>
      <c r="H150">
        <v>18</v>
      </c>
      <c r="I150">
        <v>5</v>
      </c>
      <c r="J150">
        <v>27</v>
      </c>
      <c r="K150">
        <v>0.5</v>
      </c>
      <c r="L150">
        <v>45</v>
      </c>
      <c r="M150">
        <v>15</v>
      </c>
      <c r="N150">
        <v>680</v>
      </c>
      <c r="O150">
        <v>28</v>
      </c>
      <c r="P150">
        <v>33</v>
      </c>
      <c r="Q150">
        <v>11</v>
      </c>
      <c r="R150">
        <v>2</v>
      </c>
      <c r="S150">
        <v>7</v>
      </c>
      <c r="T150">
        <v>7</v>
      </c>
      <c r="U150">
        <v>15</v>
      </c>
      <c r="V150">
        <v>6</v>
      </c>
      <c r="W150">
        <v>2</v>
      </c>
      <c r="X150">
        <v>20</v>
      </c>
      <c r="Y150">
        <v>15</v>
      </c>
      <c r="Z150" t="str" cm="1">
        <f t="array" ref="Z150">_xlfn.IFS(MAX(V150:Y150)=V150,"Vitamin A",MAX(V150:Y150)=W150,"Vitamin C",MAX(V150:Y150)=X150,"Calcium",MAX(V150:Y150)=Y150,"Iron")</f>
        <v>Calcium</v>
      </c>
    </row>
    <row r="151" spans="1:26" x14ac:dyDescent="0.3">
      <c r="A151" t="s">
        <v>183</v>
      </c>
      <c r="B151" t="s">
        <v>192</v>
      </c>
      <c r="C151" t="s">
        <v>193</v>
      </c>
      <c r="D151">
        <v>290</v>
      </c>
      <c r="E151">
        <v>80</v>
      </c>
      <c r="F151" s="2">
        <f t="shared" si="2"/>
        <v>0.27586206896551724</v>
      </c>
      <c r="G151">
        <v>8</v>
      </c>
      <c r="H151">
        <v>13</v>
      </c>
      <c r="I151">
        <v>2.5</v>
      </c>
      <c r="J151">
        <v>13</v>
      </c>
      <c r="K151">
        <v>0</v>
      </c>
      <c r="L151">
        <v>70</v>
      </c>
      <c r="M151">
        <v>23</v>
      </c>
      <c r="N151">
        <v>680</v>
      </c>
      <c r="O151">
        <v>28</v>
      </c>
      <c r="P151">
        <v>28</v>
      </c>
      <c r="Q151">
        <v>9</v>
      </c>
      <c r="R151">
        <v>7</v>
      </c>
      <c r="S151">
        <v>28</v>
      </c>
      <c r="T151">
        <v>10</v>
      </c>
      <c r="U151">
        <v>27</v>
      </c>
      <c r="V151">
        <v>170</v>
      </c>
      <c r="W151">
        <v>30</v>
      </c>
      <c r="X151">
        <v>15</v>
      </c>
      <c r="Y151">
        <v>15</v>
      </c>
      <c r="Z151" t="str" cm="1">
        <f t="array" ref="Z151">_xlfn.IFS(MAX(V151:Y151)=V151,"Vitamin A",MAX(V151:Y151)=W151,"Vitamin C",MAX(V151:Y151)=X151,"Calcium",MAX(V151:Y151)=Y151,"Iron")</f>
        <v>Vitamin A</v>
      </c>
    </row>
    <row r="152" spans="1:26" x14ac:dyDescent="0.3">
      <c r="A152" t="s">
        <v>416</v>
      </c>
      <c r="B152" t="s">
        <v>345</v>
      </c>
      <c r="C152" t="s">
        <v>240</v>
      </c>
      <c r="D152">
        <v>290</v>
      </c>
      <c r="E152">
        <v>100</v>
      </c>
      <c r="F152" s="2">
        <f t="shared" si="2"/>
        <v>0.34482758620689657</v>
      </c>
      <c r="G152">
        <v>11</v>
      </c>
      <c r="H152">
        <v>17</v>
      </c>
      <c r="I152">
        <v>7</v>
      </c>
      <c r="J152">
        <v>33</v>
      </c>
      <c r="K152">
        <v>0</v>
      </c>
      <c r="L152">
        <v>35</v>
      </c>
      <c r="M152">
        <v>12</v>
      </c>
      <c r="N152">
        <v>125</v>
      </c>
      <c r="O152">
        <v>5</v>
      </c>
      <c r="P152">
        <v>41</v>
      </c>
      <c r="Q152">
        <v>14</v>
      </c>
      <c r="R152">
        <v>1</v>
      </c>
      <c r="S152">
        <v>4</v>
      </c>
      <c r="T152">
        <v>34</v>
      </c>
      <c r="U152">
        <v>8</v>
      </c>
      <c r="V152">
        <v>10</v>
      </c>
      <c r="W152">
        <v>0</v>
      </c>
      <c r="X152">
        <v>25</v>
      </c>
      <c r="Y152">
        <v>4</v>
      </c>
      <c r="Z152" t="str" cm="1">
        <f t="array" ref="Z152">_xlfn.IFS(MAX(V152:Y152)=V152,"Vitamin A",MAX(V152:Y152)=W152,"Vitamin C",MAX(V152:Y152)=X152,"Calcium",MAX(V152:Y152)=Y152,"Iron")</f>
        <v>Calcium</v>
      </c>
    </row>
    <row r="153" spans="1:26" x14ac:dyDescent="0.3">
      <c r="A153" t="s">
        <v>416</v>
      </c>
      <c r="B153" t="s">
        <v>349</v>
      </c>
      <c r="C153" t="s">
        <v>234</v>
      </c>
      <c r="D153">
        <v>290</v>
      </c>
      <c r="E153">
        <v>45</v>
      </c>
      <c r="F153" s="2">
        <f t="shared" si="2"/>
        <v>0.15517241379310345</v>
      </c>
      <c r="G153">
        <v>5</v>
      </c>
      <c r="H153">
        <v>8</v>
      </c>
      <c r="I153">
        <v>3.5</v>
      </c>
      <c r="J153">
        <v>17</v>
      </c>
      <c r="K153">
        <v>0</v>
      </c>
      <c r="L153">
        <v>20</v>
      </c>
      <c r="M153">
        <v>7</v>
      </c>
      <c r="N153">
        <v>150</v>
      </c>
      <c r="O153">
        <v>6</v>
      </c>
      <c r="P153">
        <v>50</v>
      </c>
      <c r="Q153">
        <v>17</v>
      </c>
      <c r="R153">
        <v>1</v>
      </c>
      <c r="S153">
        <v>5</v>
      </c>
      <c r="T153">
        <v>43</v>
      </c>
      <c r="U153">
        <v>10</v>
      </c>
      <c r="V153">
        <v>15</v>
      </c>
      <c r="W153">
        <v>0</v>
      </c>
      <c r="X153">
        <v>30</v>
      </c>
      <c r="Y153">
        <v>6</v>
      </c>
      <c r="Z153" t="str" cm="1">
        <f t="array" ref="Z153">_xlfn.IFS(MAX(V153:Y153)=V153,"Vitamin A",MAX(V153:Y153)=W153,"Vitamin C",MAX(V153:Y153)=X153,"Calcium",MAX(V153:Y153)=Y153,"Iron")</f>
        <v>Calcium</v>
      </c>
    </row>
    <row r="154" spans="1:26" x14ac:dyDescent="0.3">
      <c r="A154" t="s">
        <v>414</v>
      </c>
      <c r="B154" t="s">
        <v>173</v>
      </c>
      <c r="C154" t="s">
        <v>174</v>
      </c>
      <c r="D154">
        <v>280</v>
      </c>
      <c r="E154">
        <v>160</v>
      </c>
      <c r="F154" s="2">
        <f t="shared" si="2"/>
        <v>0.5714285714285714</v>
      </c>
      <c r="G154">
        <v>18</v>
      </c>
      <c r="H154">
        <v>27</v>
      </c>
      <c r="I154">
        <v>3</v>
      </c>
      <c r="J154">
        <v>15</v>
      </c>
      <c r="K154">
        <v>0</v>
      </c>
      <c r="L154">
        <v>40</v>
      </c>
      <c r="M154">
        <v>13</v>
      </c>
      <c r="N154">
        <v>540</v>
      </c>
      <c r="O154">
        <v>22</v>
      </c>
      <c r="P154">
        <v>18</v>
      </c>
      <c r="Q154">
        <v>6</v>
      </c>
      <c r="R154">
        <v>1</v>
      </c>
      <c r="S154">
        <v>4</v>
      </c>
      <c r="T154">
        <v>0</v>
      </c>
      <c r="U154">
        <v>13</v>
      </c>
      <c r="V154">
        <v>0</v>
      </c>
      <c r="W154">
        <v>2</v>
      </c>
      <c r="X154">
        <v>2</v>
      </c>
      <c r="Y154">
        <v>4</v>
      </c>
      <c r="Z154" t="str" cm="1">
        <f t="array" ref="Z154">_xlfn.IFS(MAX(V154:Y154)=V154,"Vitamin A",MAX(V154:Y154)=W154,"Vitamin C",MAX(V154:Y154)=X154,"Calcium",MAX(V154:Y154)=Y154,"Iron")</f>
        <v>Iron</v>
      </c>
    </row>
    <row r="155" spans="1:26" x14ac:dyDescent="0.3">
      <c r="A155" t="s">
        <v>417</v>
      </c>
      <c r="B155" t="s">
        <v>204</v>
      </c>
      <c r="C155" t="s">
        <v>205</v>
      </c>
      <c r="D155">
        <v>280</v>
      </c>
      <c r="E155">
        <v>120</v>
      </c>
      <c r="F155" s="2">
        <f t="shared" si="2"/>
        <v>0.42857142857142855</v>
      </c>
      <c r="G155">
        <v>13</v>
      </c>
      <c r="H155">
        <v>20</v>
      </c>
      <c r="I155">
        <v>4.5</v>
      </c>
      <c r="J155">
        <v>22</v>
      </c>
      <c r="K155">
        <v>0</v>
      </c>
      <c r="L155">
        <v>45</v>
      </c>
      <c r="M155">
        <v>16</v>
      </c>
      <c r="N155">
        <v>720</v>
      </c>
      <c r="O155">
        <v>30</v>
      </c>
      <c r="P155">
        <v>25</v>
      </c>
      <c r="Q155">
        <v>8</v>
      </c>
      <c r="R155">
        <v>1</v>
      </c>
      <c r="S155">
        <v>5</v>
      </c>
      <c r="T155">
        <v>2</v>
      </c>
      <c r="U155">
        <v>16</v>
      </c>
      <c r="V155">
        <v>2</v>
      </c>
      <c r="W155">
        <v>2</v>
      </c>
      <c r="X155">
        <v>10</v>
      </c>
      <c r="Y155">
        <v>10</v>
      </c>
      <c r="Z155" t="str" cm="1">
        <f t="array" ref="Z155">_xlfn.IFS(MAX(V155:Y155)=V155,"Vitamin A",MAX(V155:Y155)=W155,"Vitamin C",MAX(V155:Y155)=X155,"Calcium",MAX(V155:Y155)=Y155,"Iron")</f>
        <v>Calcium</v>
      </c>
    </row>
    <row r="156" spans="1:26" x14ac:dyDescent="0.3">
      <c r="A156" t="s">
        <v>219</v>
      </c>
      <c r="B156" t="s">
        <v>231</v>
      </c>
      <c r="C156" t="s">
        <v>64</v>
      </c>
      <c r="D156">
        <v>280</v>
      </c>
      <c r="E156">
        <v>60</v>
      </c>
      <c r="F156" s="2">
        <f t="shared" si="2"/>
        <v>0.21428571428571427</v>
      </c>
      <c r="G156">
        <v>6</v>
      </c>
      <c r="H156">
        <v>10</v>
      </c>
      <c r="I156">
        <v>4</v>
      </c>
      <c r="J156">
        <v>20</v>
      </c>
      <c r="K156">
        <v>0</v>
      </c>
      <c r="L156">
        <v>25</v>
      </c>
      <c r="M156">
        <v>8</v>
      </c>
      <c r="N156">
        <v>85</v>
      </c>
      <c r="O156">
        <v>4</v>
      </c>
      <c r="P156">
        <v>49</v>
      </c>
      <c r="Q156">
        <v>16</v>
      </c>
      <c r="R156">
        <v>0</v>
      </c>
      <c r="S156">
        <v>0</v>
      </c>
      <c r="T156">
        <v>45</v>
      </c>
      <c r="U156">
        <v>6</v>
      </c>
      <c r="V156">
        <v>8</v>
      </c>
      <c r="W156">
        <v>4</v>
      </c>
      <c r="X156">
        <v>20</v>
      </c>
      <c r="Y156">
        <v>0</v>
      </c>
      <c r="Z156" t="str" cm="1">
        <f t="array" ref="Z156">_xlfn.IFS(MAX(V156:Y156)=V156,"Vitamin A",MAX(V156:Y156)=W156,"Vitamin C",MAX(V156:Y156)=X156,"Calcium",MAX(V156:Y156)=Y156,"Iron")</f>
        <v>Calcium</v>
      </c>
    </row>
    <row r="157" spans="1:26" x14ac:dyDescent="0.3">
      <c r="A157" t="s">
        <v>232</v>
      </c>
      <c r="B157" t="s">
        <v>237</v>
      </c>
      <c r="C157" t="s">
        <v>238</v>
      </c>
      <c r="D157">
        <v>280</v>
      </c>
      <c r="E157">
        <v>0</v>
      </c>
      <c r="F157" s="2">
        <f t="shared" si="2"/>
        <v>0</v>
      </c>
      <c r="G157">
        <v>0</v>
      </c>
      <c r="H157">
        <v>0</v>
      </c>
      <c r="I157">
        <v>0</v>
      </c>
      <c r="J157">
        <v>0</v>
      </c>
      <c r="K157">
        <v>0</v>
      </c>
      <c r="L157">
        <v>0</v>
      </c>
      <c r="M157">
        <v>0</v>
      </c>
      <c r="N157">
        <v>5</v>
      </c>
      <c r="O157">
        <v>0</v>
      </c>
      <c r="P157">
        <v>76</v>
      </c>
      <c r="Q157">
        <v>25</v>
      </c>
      <c r="R157">
        <v>0</v>
      </c>
      <c r="S157">
        <v>0</v>
      </c>
      <c r="T157">
        <v>76</v>
      </c>
      <c r="U157">
        <v>0</v>
      </c>
      <c r="V157">
        <v>0</v>
      </c>
      <c r="W157">
        <v>0</v>
      </c>
      <c r="X157">
        <v>0</v>
      </c>
      <c r="Y157">
        <v>0</v>
      </c>
      <c r="Z157" t="str" cm="1">
        <f t="array" ref="Z157">_xlfn.IFS(MAX(V157:Y157)=V157,"Vitamin A",MAX(V157:Y157)=W157,"Vitamin C",MAX(V157:Y157)=X157,"Calcium",MAX(V157:Y157)=Y157,"Iron")</f>
        <v>Vitamin A</v>
      </c>
    </row>
    <row r="158" spans="1:26" x14ac:dyDescent="0.3">
      <c r="A158" t="s">
        <v>232</v>
      </c>
      <c r="B158" t="s">
        <v>255</v>
      </c>
      <c r="C158" t="s">
        <v>238</v>
      </c>
      <c r="D158">
        <v>280</v>
      </c>
      <c r="E158">
        <v>0</v>
      </c>
      <c r="F158" s="2">
        <f t="shared" si="2"/>
        <v>0</v>
      </c>
      <c r="G158">
        <v>0</v>
      </c>
      <c r="H158">
        <v>0</v>
      </c>
      <c r="I158">
        <v>0</v>
      </c>
      <c r="J158">
        <v>0</v>
      </c>
      <c r="K158">
        <v>0</v>
      </c>
      <c r="L158">
        <v>0</v>
      </c>
      <c r="M158">
        <v>0</v>
      </c>
      <c r="N158">
        <v>60</v>
      </c>
      <c r="O158">
        <v>3</v>
      </c>
      <c r="P158">
        <v>74</v>
      </c>
      <c r="Q158">
        <v>25</v>
      </c>
      <c r="R158">
        <v>0</v>
      </c>
      <c r="S158">
        <v>0</v>
      </c>
      <c r="T158">
        <v>74</v>
      </c>
      <c r="U158">
        <v>0</v>
      </c>
      <c r="V158">
        <v>0</v>
      </c>
      <c r="W158">
        <v>0</v>
      </c>
      <c r="X158">
        <v>0</v>
      </c>
      <c r="Y158">
        <v>0</v>
      </c>
      <c r="Z158" t="str" cm="1">
        <f t="array" ref="Z158">_xlfn.IFS(MAX(V158:Y158)=V158,"Vitamin A",MAX(V158:Y158)=W158,"Vitamin C",MAX(V158:Y158)=X158,"Calcium",MAX(V158:Y158)=Y158,"Iron")</f>
        <v>Vitamin A</v>
      </c>
    </row>
    <row r="159" spans="1:26" x14ac:dyDescent="0.3">
      <c r="A159" t="s">
        <v>232</v>
      </c>
      <c r="B159" t="s">
        <v>264</v>
      </c>
      <c r="C159" t="s">
        <v>265</v>
      </c>
      <c r="D159">
        <v>280</v>
      </c>
      <c r="E159">
        <v>0</v>
      </c>
      <c r="F159" s="2">
        <f t="shared" si="2"/>
        <v>0</v>
      </c>
      <c r="G159">
        <v>0</v>
      </c>
      <c r="H159">
        <v>0</v>
      </c>
      <c r="I159">
        <v>0</v>
      </c>
      <c r="J159">
        <v>0</v>
      </c>
      <c r="K159">
        <v>0</v>
      </c>
      <c r="L159">
        <v>0</v>
      </c>
      <c r="M159">
        <v>0</v>
      </c>
      <c r="N159">
        <v>5</v>
      </c>
      <c r="O159">
        <v>0</v>
      </c>
      <c r="P159">
        <v>65</v>
      </c>
      <c r="Q159">
        <v>22</v>
      </c>
      <c r="R159">
        <v>0</v>
      </c>
      <c r="S159">
        <v>0</v>
      </c>
      <c r="T159">
        <v>58</v>
      </c>
      <c r="U159">
        <v>4</v>
      </c>
      <c r="V159">
        <v>0</v>
      </c>
      <c r="W159">
        <v>240</v>
      </c>
      <c r="X159">
        <v>4</v>
      </c>
      <c r="Y159">
        <v>0</v>
      </c>
      <c r="Z159" t="str" cm="1">
        <f t="array" ref="Z159">_xlfn.IFS(MAX(V159:Y159)=V159,"Vitamin A",MAX(V159:Y159)=W159,"Vitamin C",MAX(V159:Y159)=X159,"Calcium",MAX(V159:Y159)=Y159,"Iron")</f>
        <v>Vitamin C</v>
      </c>
    </row>
    <row r="160" spans="1:26" x14ac:dyDescent="0.3">
      <c r="A160" t="s">
        <v>416</v>
      </c>
      <c r="B160" t="s">
        <v>282</v>
      </c>
      <c r="C160" t="s">
        <v>283</v>
      </c>
      <c r="D160">
        <v>280</v>
      </c>
      <c r="E160">
        <v>120</v>
      </c>
      <c r="F160" s="2">
        <f t="shared" si="2"/>
        <v>0.42857142857142855</v>
      </c>
      <c r="G160">
        <v>14</v>
      </c>
      <c r="H160">
        <v>21</v>
      </c>
      <c r="I160">
        <v>8</v>
      </c>
      <c r="J160">
        <v>39</v>
      </c>
      <c r="K160">
        <v>0</v>
      </c>
      <c r="L160">
        <v>40</v>
      </c>
      <c r="M160">
        <v>14</v>
      </c>
      <c r="N160">
        <v>180</v>
      </c>
      <c r="O160">
        <v>8</v>
      </c>
      <c r="P160">
        <v>24</v>
      </c>
      <c r="Q160">
        <v>8</v>
      </c>
      <c r="R160">
        <v>1</v>
      </c>
      <c r="S160">
        <v>6</v>
      </c>
      <c r="T160">
        <v>20</v>
      </c>
      <c r="U160">
        <v>15</v>
      </c>
      <c r="V160">
        <v>15</v>
      </c>
      <c r="W160">
        <v>0</v>
      </c>
      <c r="X160">
        <v>50</v>
      </c>
      <c r="Y160">
        <v>2</v>
      </c>
      <c r="Z160" t="str" cm="1">
        <f t="array" ref="Z160">_xlfn.IFS(MAX(V160:Y160)=V160,"Vitamin A",MAX(V160:Y160)=W160,"Vitamin C",MAX(V160:Y160)=X160,"Calcium",MAX(V160:Y160)=Y160,"Iron")</f>
        <v>Calcium</v>
      </c>
    </row>
    <row r="161" spans="1:26" x14ac:dyDescent="0.3">
      <c r="A161" t="s">
        <v>416</v>
      </c>
      <c r="B161" t="s">
        <v>326</v>
      </c>
      <c r="C161" t="s">
        <v>240</v>
      </c>
      <c r="D161">
        <v>280</v>
      </c>
      <c r="E161">
        <v>30</v>
      </c>
      <c r="F161" s="2">
        <f t="shared" si="2"/>
        <v>0.10714285714285714</v>
      </c>
      <c r="G161">
        <v>3.5</v>
      </c>
      <c r="H161">
        <v>5</v>
      </c>
      <c r="I161">
        <v>2</v>
      </c>
      <c r="J161">
        <v>11</v>
      </c>
      <c r="K161">
        <v>0</v>
      </c>
      <c r="L161">
        <v>15</v>
      </c>
      <c r="M161">
        <v>5</v>
      </c>
      <c r="N161">
        <v>180</v>
      </c>
      <c r="O161">
        <v>7</v>
      </c>
      <c r="P161">
        <v>50</v>
      </c>
      <c r="Q161">
        <v>17</v>
      </c>
      <c r="R161">
        <v>1</v>
      </c>
      <c r="S161">
        <v>3</v>
      </c>
      <c r="T161">
        <v>46</v>
      </c>
      <c r="U161">
        <v>12</v>
      </c>
      <c r="V161">
        <v>15</v>
      </c>
      <c r="W161">
        <v>0</v>
      </c>
      <c r="X161">
        <v>40</v>
      </c>
      <c r="Y161">
        <v>6</v>
      </c>
      <c r="Z161" t="str" cm="1">
        <f t="array" ref="Z161">_xlfn.IFS(MAX(V161:Y161)=V161,"Vitamin A",MAX(V161:Y161)=W161,"Vitamin C",MAX(V161:Y161)=X161,"Calcium",MAX(V161:Y161)=Y161,"Iron")</f>
        <v>Calcium</v>
      </c>
    </row>
    <row r="162" spans="1:26" x14ac:dyDescent="0.3">
      <c r="A162" t="s">
        <v>416</v>
      </c>
      <c r="B162" t="s">
        <v>351</v>
      </c>
      <c r="C162" t="s">
        <v>240</v>
      </c>
      <c r="D162">
        <v>280</v>
      </c>
      <c r="E162">
        <v>100</v>
      </c>
      <c r="F162" s="2">
        <f t="shared" si="2"/>
        <v>0.35714285714285715</v>
      </c>
      <c r="G162">
        <v>11</v>
      </c>
      <c r="H162">
        <v>17</v>
      </c>
      <c r="I162">
        <v>7</v>
      </c>
      <c r="J162">
        <v>33</v>
      </c>
      <c r="K162">
        <v>0</v>
      </c>
      <c r="L162">
        <v>35</v>
      </c>
      <c r="M162">
        <v>12</v>
      </c>
      <c r="N162">
        <v>140</v>
      </c>
      <c r="O162">
        <v>6</v>
      </c>
      <c r="P162">
        <v>38</v>
      </c>
      <c r="Q162">
        <v>13</v>
      </c>
      <c r="R162">
        <v>0</v>
      </c>
      <c r="S162">
        <v>0</v>
      </c>
      <c r="T162">
        <v>33</v>
      </c>
      <c r="U162">
        <v>8</v>
      </c>
      <c r="V162">
        <v>10</v>
      </c>
      <c r="W162">
        <v>0</v>
      </c>
      <c r="X162">
        <v>25</v>
      </c>
      <c r="Y162">
        <v>2</v>
      </c>
      <c r="Z162" t="str" cm="1">
        <f t="array" ref="Z162">_xlfn.IFS(MAX(V162:Y162)=V162,"Vitamin A",MAX(V162:Y162)=W162,"Vitamin C",MAX(V162:Y162)=X162,"Calcium",MAX(V162:Y162)=Y162,"Iron")</f>
        <v>Calcium</v>
      </c>
    </row>
    <row r="163" spans="1:26" x14ac:dyDescent="0.3">
      <c r="A163" t="s">
        <v>232</v>
      </c>
      <c r="B163" t="s">
        <v>247</v>
      </c>
      <c r="C163" t="s">
        <v>238</v>
      </c>
      <c r="D163">
        <v>270</v>
      </c>
      <c r="E163">
        <v>0</v>
      </c>
      <c r="F163" s="2">
        <f t="shared" si="2"/>
        <v>0</v>
      </c>
      <c r="G163">
        <v>0</v>
      </c>
      <c r="H163">
        <v>0</v>
      </c>
      <c r="I163">
        <v>0</v>
      </c>
      <c r="J163">
        <v>0</v>
      </c>
      <c r="K163">
        <v>0</v>
      </c>
      <c r="L163">
        <v>0</v>
      </c>
      <c r="M163">
        <v>0</v>
      </c>
      <c r="N163">
        <v>90</v>
      </c>
      <c r="O163">
        <v>4</v>
      </c>
      <c r="P163">
        <v>72</v>
      </c>
      <c r="Q163">
        <v>24</v>
      </c>
      <c r="R163">
        <v>0</v>
      </c>
      <c r="S163">
        <v>0</v>
      </c>
      <c r="T163">
        <v>70</v>
      </c>
      <c r="U163">
        <v>0</v>
      </c>
      <c r="V163">
        <v>0</v>
      </c>
      <c r="W163">
        <v>0</v>
      </c>
      <c r="X163">
        <v>0</v>
      </c>
      <c r="Y163">
        <v>0</v>
      </c>
      <c r="Z163" t="str" cm="1">
        <f t="array" ref="Z163">_xlfn.IFS(MAX(V163:Y163)=V163,"Vitamin A",MAX(V163:Y163)=W163,"Vitamin C",MAX(V163:Y163)=X163,"Calcium",MAX(V163:Y163)=Y163,"Iron")</f>
        <v>Vitamin A</v>
      </c>
    </row>
    <row r="164" spans="1:26" x14ac:dyDescent="0.3">
      <c r="A164" t="s">
        <v>416</v>
      </c>
      <c r="B164" t="s">
        <v>284</v>
      </c>
      <c r="C164" t="s">
        <v>240</v>
      </c>
      <c r="D164">
        <v>270</v>
      </c>
      <c r="E164">
        <v>80</v>
      </c>
      <c r="F164" s="2">
        <f t="shared" si="2"/>
        <v>0.29629629629629628</v>
      </c>
      <c r="G164">
        <v>9</v>
      </c>
      <c r="H164">
        <v>13</v>
      </c>
      <c r="I164">
        <v>5</v>
      </c>
      <c r="J164">
        <v>24</v>
      </c>
      <c r="K164">
        <v>0</v>
      </c>
      <c r="L164">
        <v>25</v>
      </c>
      <c r="M164">
        <v>9</v>
      </c>
      <c r="N164">
        <v>115</v>
      </c>
      <c r="O164">
        <v>5</v>
      </c>
      <c r="P164">
        <v>40</v>
      </c>
      <c r="Q164">
        <v>13</v>
      </c>
      <c r="R164">
        <v>1</v>
      </c>
      <c r="S164">
        <v>3</v>
      </c>
      <c r="T164">
        <v>38</v>
      </c>
      <c r="U164">
        <v>9</v>
      </c>
      <c r="V164">
        <v>8</v>
      </c>
      <c r="W164">
        <v>0</v>
      </c>
      <c r="X164">
        <v>30</v>
      </c>
      <c r="Y164">
        <v>0</v>
      </c>
      <c r="Z164" t="str" cm="1">
        <f t="array" ref="Z164">_xlfn.IFS(MAX(V164:Y164)=V164,"Vitamin A",MAX(V164:Y164)=W164,"Vitamin C",MAX(V164:Y164)=X164,"Calcium",MAX(V164:Y164)=Y164,"Iron")</f>
        <v>Calcium</v>
      </c>
    </row>
    <row r="165" spans="1:26" x14ac:dyDescent="0.3">
      <c r="A165" t="s">
        <v>416</v>
      </c>
      <c r="B165" t="s">
        <v>287</v>
      </c>
      <c r="C165" t="s">
        <v>240</v>
      </c>
      <c r="D165">
        <v>270</v>
      </c>
      <c r="E165">
        <v>80</v>
      </c>
      <c r="F165" s="2">
        <f t="shared" si="2"/>
        <v>0.29629629629629628</v>
      </c>
      <c r="G165">
        <v>9</v>
      </c>
      <c r="H165">
        <v>13</v>
      </c>
      <c r="I165">
        <v>5</v>
      </c>
      <c r="J165">
        <v>24</v>
      </c>
      <c r="K165">
        <v>0</v>
      </c>
      <c r="L165">
        <v>25</v>
      </c>
      <c r="M165">
        <v>9</v>
      </c>
      <c r="N165">
        <v>115</v>
      </c>
      <c r="O165">
        <v>5</v>
      </c>
      <c r="P165">
        <v>40</v>
      </c>
      <c r="Q165">
        <v>13</v>
      </c>
      <c r="R165">
        <v>1</v>
      </c>
      <c r="S165">
        <v>3</v>
      </c>
      <c r="T165">
        <v>38</v>
      </c>
      <c r="U165">
        <v>9</v>
      </c>
      <c r="V165">
        <v>8</v>
      </c>
      <c r="W165">
        <v>0</v>
      </c>
      <c r="X165">
        <v>30</v>
      </c>
      <c r="Y165">
        <v>0</v>
      </c>
      <c r="Z165" t="str" cm="1">
        <f t="array" ref="Z165">_xlfn.IFS(MAX(V165:Y165)=V165,"Vitamin A",MAX(V165:Y165)=W165,"Vitamin C",MAX(V165:Y165)=X165,"Calcium",MAX(V165:Y165)=Y165,"Iron")</f>
        <v>Calcium</v>
      </c>
    </row>
    <row r="166" spans="1:26" x14ac:dyDescent="0.3">
      <c r="A166" t="s">
        <v>416</v>
      </c>
      <c r="B166" t="s">
        <v>314</v>
      </c>
      <c r="C166" t="s">
        <v>240</v>
      </c>
      <c r="D166">
        <v>270</v>
      </c>
      <c r="E166">
        <v>30</v>
      </c>
      <c r="F166" s="2">
        <f t="shared" si="2"/>
        <v>0.1111111111111111</v>
      </c>
      <c r="G166">
        <v>3.5</v>
      </c>
      <c r="H166">
        <v>5</v>
      </c>
      <c r="I166">
        <v>2</v>
      </c>
      <c r="J166">
        <v>11</v>
      </c>
      <c r="K166">
        <v>0</v>
      </c>
      <c r="L166">
        <v>15</v>
      </c>
      <c r="M166">
        <v>5</v>
      </c>
      <c r="N166">
        <v>150</v>
      </c>
      <c r="O166">
        <v>6</v>
      </c>
      <c r="P166">
        <v>49</v>
      </c>
      <c r="Q166">
        <v>16</v>
      </c>
      <c r="R166">
        <v>2</v>
      </c>
      <c r="S166">
        <v>6</v>
      </c>
      <c r="T166">
        <v>43</v>
      </c>
      <c r="U166">
        <v>11</v>
      </c>
      <c r="V166">
        <v>10</v>
      </c>
      <c r="W166">
        <v>0</v>
      </c>
      <c r="X166">
        <v>35</v>
      </c>
      <c r="Y166">
        <v>6</v>
      </c>
      <c r="Z166" t="str" cm="1">
        <f t="array" ref="Z166">_xlfn.IFS(MAX(V166:Y166)=V166,"Vitamin A",MAX(V166:Y166)=W166,"Vitamin C",MAX(V166:Y166)=X166,"Calcium",MAX(V166:Y166)=Y166,"Iron")</f>
        <v>Calcium</v>
      </c>
    </row>
    <row r="167" spans="1:26" x14ac:dyDescent="0.3">
      <c r="A167" t="s">
        <v>416</v>
      </c>
      <c r="B167" t="s">
        <v>331</v>
      </c>
      <c r="C167" t="s">
        <v>332</v>
      </c>
      <c r="D167">
        <v>270</v>
      </c>
      <c r="E167">
        <v>80</v>
      </c>
      <c r="F167" s="2">
        <f t="shared" si="2"/>
        <v>0.29629629629629628</v>
      </c>
      <c r="G167">
        <v>9</v>
      </c>
      <c r="H167">
        <v>14</v>
      </c>
      <c r="I167">
        <v>6</v>
      </c>
      <c r="J167">
        <v>29</v>
      </c>
      <c r="K167">
        <v>0</v>
      </c>
      <c r="L167">
        <v>35</v>
      </c>
      <c r="M167">
        <v>12</v>
      </c>
      <c r="N167">
        <v>75</v>
      </c>
      <c r="O167">
        <v>3</v>
      </c>
      <c r="P167">
        <v>47</v>
      </c>
      <c r="Q167">
        <v>16</v>
      </c>
      <c r="R167">
        <v>0</v>
      </c>
      <c r="S167">
        <v>0</v>
      </c>
      <c r="T167">
        <v>45</v>
      </c>
      <c r="U167">
        <v>2</v>
      </c>
      <c r="V167">
        <v>6</v>
      </c>
      <c r="W167">
        <v>0</v>
      </c>
      <c r="X167">
        <v>8</v>
      </c>
      <c r="Y167">
        <v>0</v>
      </c>
      <c r="Z167" t="str" cm="1">
        <f t="array" ref="Z167">_xlfn.IFS(MAX(V167:Y167)=V167,"Vitamin A",MAX(V167:Y167)=W167,"Vitamin C",MAX(V167:Y167)=X167,"Calcium",MAX(V167:Y167)=Y167,"Iron")</f>
        <v>Calcium</v>
      </c>
    </row>
    <row r="168" spans="1:26" x14ac:dyDescent="0.3">
      <c r="A168" t="s">
        <v>416</v>
      </c>
      <c r="B168" t="s">
        <v>355</v>
      </c>
      <c r="C168" t="s">
        <v>234</v>
      </c>
      <c r="D168">
        <v>270</v>
      </c>
      <c r="E168">
        <v>45</v>
      </c>
      <c r="F168" s="2">
        <f t="shared" si="2"/>
        <v>0.16666666666666666</v>
      </c>
      <c r="G168">
        <v>5</v>
      </c>
      <c r="H168">
        <v>8</v>
      </c>
      <c r="I168">
        <v>3</v>
      </c>
      <c r="J168">
        <v>16</v>
      </c>
      <c r="K168">
        <v>0</v>
      </c>
      <c r="L168">
        <v>20</v>
      </c>
      <c r="M168">
        <v>7</v>
      </c>
      <c r="N168">
        <v>170</v>
      </c>
      <c r="O168">
        <v>7</v>
      </c>
      <c r="P168">
        <v>47</v>
      </c>
      <c r="Q168">
        <v>16</v>
      </c>
      <c r="R168">
        <v>1</v>
      </c>
      <c r="S168">
        <v>2</v>
      </c>
      <c r="T168">
        <v>41</v>
      </c>
      <c r="U168">
        <v>10</v>
      </c>
      <c r="V168">
        <v>15</v>
      </c>
      <c r="W168">
        <v>0</v>
      </c>
      <c r="X168">
        <v>30</v>
      </c>
      <c r="Y168">
        <v>2</v>
      </c>
      <c r="Z168" t="str" cm="1">
        <f t="array" ref="Z168">_xlfn.IFS(MAX(V168:Y168)=V168,"Vitamin A",MAX(V168:Y168)=W168,"Vitamin C",MAX(V168:Y168)=X168,"Calcium",MAX(V168:Y168)=Y168,"Iron")</f>
        <v>Calcium</v>
      </c>
    </row>
    <row r="169" spans="1:26" x14ac:dyDescent="0.3">
      <c r="A169" t="s">
        <v>24</v>
      </c>
      <c r="B169" t="s">
        <v>102</v>
      </c>
      <c r="C169" t="s">
        <v>101</v>
      </c>
      <c r="D169">
        <v>260</v>
      </c>
      <c r="E169">
        <v>40</v>
      </c>
      <c r="F169" s="2">
        <f t="shared" si="2"/>
        <v>0.15384615384615385</v>
      </c>
      <c r="G169">
        <v>4</v>
      </c>
      <c r="H169">
        <v>6</v>
      </c>
      <c r="I169">
        <v>1.5</v>
      </c>
      <c r="J169">
        <v>8</v>
      </c>
      <c r="K169">
        <v>0</v>
      </c>
      <c r="L169">
        <v>5</v>
      </c>
      <c r="M169">
        <v>2</v>
      </c>
      <c r="N169">
        <v>115</v>
      </c>
      <c r="O169">
        <v>5</v>
      </c>
      <c r="P169">
        <v>49</v>
      </c>
      <c r="Q169">
        <v>16</v>
      </c>
      <c r="R169">
        <v>5</v>
      </c>
      <c r="S169">
        <v>22</v>
      </c>
      <c r="T169">
        <v>18</v>
      </c>
      <c r="U169">
        <v>5</v>
      </c>
      <c r="V169">
        <v>2</v>
      </c>
      <c r="W169">
        <v>130</v>
      </c>
      <c r="X169">
        <v>6</v>
      </c>
      <c r="Y169">
        <v>10</v>
      </c>
      <c r="Z169" t="str" cm="1">
        <f t="array" ref="Z169">_xlfn.IFS(MAX(V169:Y169)=V169,"Vitamin A",MAX(V169:Y169)=W169,"Vitamin C",MAX(V169:Y169)=X169,"Calcium",MAX(V169:Y169)=Y169,"Iron")</f>
        <v>Vitamin C</v>
      </c>
    </row>
    <row r="170" spans="1:26" x14ac:dyDescent="0.3">
      <c r="A170" t="s">
        <v>417</v>
      </c>
      <c r="B170" t="s">
        <v>197</v>
      </c>
      <c r="C170" t="s">
        <v>198</v>
      </c>
      <c r="D170">
        <v>260</v>
      </c>
      <c r="E170">
        <v>70</v>
      </c>
      <c r="F170" s="2">
        <f t="shared" si="2"/>
        <v>0.26923076923076922</v>
      </c>
      <c r="G170">
        <v>8</v>
      </c>
      <c r="H170">
        <v>13</v>
      </c>
      <c r="I170">
        <v>3.5</v>
      </c>
      <c r="J170">
        <v>18</v>
      </c>
      <c r="K170">
        <v>0</v>
      </c>
      <c r="L170">
        <v>40</v>
      </c>
      <c r="M170">
        <v>14</v>
      </c>
      <c r="N170">
        <v>700</v>
      </c>
      <c r="O170">
        <v>29</v>
      </c>
      <c r="P170">
        <v>30</v>
      </c>
      <c r="Q170">
        <v>10</v>
      </c>
      <c r="R170">
        <v>1</v>
      </c>
      <c r="S170">
        <v>6</v>
      </c>
      <c r="T170">
        <v>7</v>
      </c>
      <c r="U170">
        <v>16</v>
      </c>
      <c r="V170">
        <v>4</v>
      </c>
      <c r="W170">
        <v>2</v>
      </c>
      <c r="X170">
        <v>10</v>
      </c>
      <c r="Y170">
        <v>10</v>
      </c>
      <c r="Z170" t="str" cm="1">
        <f t="array" ref="Z170">_xlfn.IFS(MAX(V170:Y170)=V170,"Vitamin A",MAX(V170:Y170)=W170,"Vitamin C",MAX(V170:Y170)=X170,"Calcium",MAX(V170:Y170)=Y170,"Iron")</f>
        <v>Calcium</v>
      </c>
    </row>
    <row r="171" spans="1:26" x14ac:dyDescent="0.3">
      <c r="A171" t="s">
        <v>416</v>
      </c>
      <c r="B171" t="s">
        <v>290</v>
      </c>
      <c r="C171" t="s">
        <v>240</v>
      </c>
      <c r="D171">
        <v>260</v>
      </c>
      <c r="E171">
        <v>80</v>
      </c>
      <c r="F171" s="2">
        <f t="shared" si="2"/>
        <v>0.30769230769230771</v>
      </c>
      <c r="G171">
        <v>9</v>
      </c>
      <c r="H171">
        <v>13</v>
      </c>
      <c r="I171">
        <v>5</v>
      </c>
      <c r="J171">
        <v>24</v>
      </c>
      <c r="K171">
        <v>0</v>
      </c>
      <c r="L171">
        <v>25</v>
      </c>
      <c r="M171">
        <v>9</v>
      </c>
      <c r="N171">
        <v>115</v>
      </c>
      <c r="O171">
        <v>5</v>
      </c>
      <c r="P171">
        <v>38</v>
      </c>
      <c r="Q171">
        <v>13</v>
      </c>
      <c r="R171">
        <v>1</v>
      </c>
      <c r="S171">
        <v>3</v>
      </c>
      <c r="T171">
        <v>36</v>
      </c>
      <c r="U171">
        <v>9</v>
      </c>
      <c r="V171">
        <v>8</v>
      </c>
      <c r="W171">
        <v>0</v>
      </c>
      <c r="X171">
        <v>30</v>
      </c>
      <c r="Y171">
        <v>0</v>
      </c>
      <c r="Z171" t="str" cm="1">
        <f t="array" ref="Z171">_xlfn.IFS(MAX(V171:Y171)=V171,"Vitamin A",MAX(V171:Y171)=W171,"Vitamin C",MAX(V171:Y171)=X171,"Calcium",MAX(V171:Y171)=Y171,"Iron")</f>
        <v>Calcium</v>
      </c>
    </row>
    <row r="172" spans="1:26" x14ac:dyDescent="0.3">
      <c r="A172" t="s">
        <v>416</v>
      </c>
      <c r="B172" t="s">
        <v>294</v>
      </c>
      <c r="C172" t="s">
        <v>234</v>
      </c>
      <c r="D172">
        <v>260</v>
      </c>
      <c r="E172">
        <v>90</v>
      </c>
      <c r="F172" s="2">
        <f t="shared" si="2"/>
        <v>0.34615384615384615</v>
      </c>
      <c r="G172">
        <v>10</v>
      </c>
      <c r="H172">
        <v>16</v>
      </c>
      <c r="I172">
        <v>6</v>
      </c>
      <c r="J172">
        <v>30</v>
      </c>
      <c r="K172">
        <v>0</v>
      </c>
      <c r="L172">
        <v>30</v>
      </c>
      <c r="M172">
        <v>11</v>
      </c>
      <c r="N172">
        <v>190</v>
      </c>
      <c r="O172">
        <v>8</v>
      </c>
      <c r="P172">
        <v>29</v>
      </c>
      <c r="Q172">
        <v>10</v>
      </c>
      <c r="R172">
        <v>1</v>
      </c>
      <c r="S172">
        <v>5</v>
      </c>
      <c r="T172">
        <v>15</v>
      </c>
      <c r="U172">
        <v>12</v>
      </c>
      <c r="V172">
        <v>10</v>
      </c>
      <c r="W172">
        <v>0</v>
      </c>
      <c r="X172">
        <v>35</v>
      </c>
      <c r="Y172">
        <v>0</v>
      </c>
      <c r="Z172" t="str" cm="1">
        <f t="array" ref="Z172">_xlfn.IFS(MAX(V172:Y172)=V172,"Vitamin A",MAX(V172:Y172)=W172,"Vitamin C",MAX(V172:Y172)=X172,"Calcium",MAX(V172:Y172)=Y172,"Iron")</f>
        <v>Calcium</v>
      </c>
    </row>
    <row r="173" spans="1:26" x14ac:dyDescent="0.3">
      <c r="A173" t="s">
        <v>416</v>
      </c>
      <c r="B173" t="s">
        <v>335</v>
      </c>
      <c r="C173" t="s">
        <v>332</v>
      </c>
      <c r="D173">
        <v>260</v>
      </c>
      <c r="E173">
        <v>80</v>
      </c>
      <c r="F173" s="2">
        <f t="shared" si="2"/>
        <v>0.30769230769230771</v>
      </c>
      <c r="G173">
        <v>9</v>
      </c>
      <c r="H173">
        <v>14</v>
      </c>
      <c r="I173">
        <v>6</v>
      </c>
      <c r="J173">
        <v>29</v>
      </c>
      <c r="K173">
        <v>0</v>
      </c>
      <c r="L173">
        <v>35</v>
      </c>
      <c r="M173">
        <v>12</v>
      </c>
      <c r="N173">
        <v>65</v>
      </c>
      <c r="O173">
        <v>3</v>
      </c>
      <c r="P173">
        <v>43</v>
      </c>
      <c r="Q173">
        <v>14</v>
      </c>
      <c r="R173">
        <v>0</v>
      </c>
      <c r="S173">
        <v>0</v>
      </c>
      <c r="T173">
        <v>42</v>
      </c>
      <c r="U173">
        <v>2</v>
      </c>
      <c r="V173">
        <v>6</v>
      </c>
      <c r="W173">
        <v>0</v>
      </c>
      <c r="X173">
        <v>6</v>
      </c>
      <c r="Y173">
        <v>0</v>
      </c>
      <c r="Z173" t="str" cm="1">
        <f t="array" ref="Z173">_xlfn.IFS(MAX(V173:Y173)=V173,"Vitamin A",MAX(V173:Y173)=W173,"Vitamin C",MAX(V173:Y173)=X173,"Calcium",MAX(V173:Y173)=Y173,"Iron")</f>
        <v>Vitamin A</v>
      </c>
    </row>
    <row r="174" spans="1:26" x14ac:dyDescent="0.3">
      <c r="A174" t="s">
        <v>415</v>
      </c>
      <c r="B174" t="s">
        <v>368</v>
      </c>
      <c r="C174" t="s">
        <v>234</v>
      </c>
      <c r="D174">
        <v>260</v>
      </c>
      <c r="E174">
        <v>5</v>
      </c>
      <c r="F174" s="2">
        <f t="shared" si="2"/>
        <v>1.9230769230769232E-2</v>
      </c>
      <c r="G174">
        <v>1</v>
      </c>
      <c r="H174">
        <v>1</v>
      </c>
      <c r="I174">
        <v>0</v>
      </c>
      <c r="J174">
        <v>0</v>
      </c>
      <c r="K174">
        <v>0</v>
      </c>
      <c r="L174">
        <v>5</v>
      </c>
      <c r="M174">
        <v>1</v>
      </c>
      <c r="N174">
        <v>50</v>
      </c>
      <c r="O174">
        <v>2</v>
      </c>
      <c r="P174">
        <v>62</v>
      </c>
      <c r="Q174">
        <v>21</v>
      </c>
      <c r="R174">
        <v>4</v>
      </c>
      <c r="S174">
        <v>15</v>
      </c>
      <c r="T174">
        <v>54</v>
      </c>
      <c r="U174">
        <v>3</v>
      </c>
      <c r="V174">
        <v>0</v>
      </c>
      <c r="W174">
        <v>4</v>
      </c>
      <c r="X174">
        <v>8</v>
      </c>
      <c r="Y174">
        <v>2</v>
      </c>
      <c r="Z174" t="str" cm="1">
        <f t="array" ref="Z174">_xlfn.IFS(MAX(V174:Y174)=V174,"Vitamin A",MAX(V174:Y174)=W174,"Vitamin C",MAX(V174:Y174)=X174,"Calcium",MAX(V174:Y174)=Y174,"Iron")</f>
        <v>Calcium</v>
      </c>
    </row>
    <row r="175" spans="1:26" x14ac:dyDescent="0.3">
      <c r="A175" t="s">
        <v>415</v>
      </c>
      <c r="B175" t="s">
        <v>374</v>
      </c>
      <c r="C175" t="s">
        <v>234</v>
      </c>
      <c r="D175">
        <v>260</v>
      </c>
      <c r="E175">
        <v>10</v>
      </c>
      <c r="F175" s="2">
        <f t="shared" si="2"/>
        <v>3.8461538461538464E-2</v>
      </c>
      <c r="G175">
        <v>1</v>
      </c>
      <c r="H175">
        <v>1</v>
      </c>
      <c r="I175">
        <v>0</v>
      </c>
      <c r="J175">
        <v>0</v>
      </c>
      <c r="K175">
        <v>0</v>
      </c>
      <c r="L175">
        <v>5</v>
      </c>
      <c r="M175">
        <v>1</v>
      </c>
      <c r="N175">
        <v>45</v>
      </c>
      <c r="O175">
        <v>2</v>
      </c>
      <c r="P175">
        <v>61</v>
      </c>
      <c r="Q175">
        <v>20</v>
      </c>
      <c r="R175">
        <v>1</v>
      </c>
      <c r="S175">
        <v>5</v>
      </c>
      <c r="T175">
        <v>56</v>
      </c>
      <c r="U175">
        <v>3</v>
      </c>
      <c r="V175">
        <v>40</v>
      </c>
      <c r="W175">
        <v>25</v>
      </c>
      <c r="X175">
        <v>8</v>
      </c>
      <c r="Y175">
        <v>2</v>
      </c>
      <c r="Z175" t="str" cm="1">
        <f t="array" ref="Z175">_xlfn.IFS(MAX(V175:Y175)=V175,"Vitamin A",MAX(V175:Y175)=W175,"Vitamin C",MAX(V175:Y175)=X175,"Calcium",MAX(V175:Y175)=Y175,"Iron")</f>
        <v>Vitamin A</v>
      </c>
    </row>
    <row r="176" spans="1:26" x14ac:dyDescent="0.3">
      <c r="A176" t="s">
        <v>24</v>
      </c>
      <c r="B176" t="s">
        <v>27</v>
      </c>
      <c r="C176" t="s">
        <v>28</v>
      </c>
      <c r="D176">
        <v>250</v>
      </c>
      <c r="E176">
        <v>70</v>
      </c>
      <c r="F176" s="2">
        <f t="shared" si="2"/>
        <v>0.28000000000000003</v>
      </c>
      <c r="G176">
        <v>8</v>
      </c>
      <c r="H176">
        <v>12</v>
      </c>
      <c r="I176">
        <v>3</v>
      </c>
      <c r="J176">
        <v>15</v>
      </c>
      <c r="K176">
        <v>0</v>
      </c>
      <c r="L176">
        <v>25</v>
      </c>
      <c r="M176">
        <v>8</v>
      </c>
      <c r="N176">
        <v>770</v>
      </c>
      <c r="O176">
        <v>32</v>
      </c>
      <c r="P176">
        <v>30</v>
      </c>
      <c r="Q176">
        <v>10</v>
      </c>
      <c r="R176">
        <v>4</v>
      </c>
      <c r="S176">
        <v>17</v>
      </c>
      <c r="T176">
        <v>3</v>
      </c>
      <c r="U176">
        <v>18</v>
      </c>
      <c r="V176">
        <v>6</v>
      </c>
      <c r="W176">
        <v>0</v>
      </c>
      <c r="X176">
        <v>25</v>
      </c>
      <c r="Y176">
        <v>8</v>
      </c>
      <c r="Z176" t="str" cm="1">
        <f t="array" ref="Z176">_xlfn.IFS(MAX(V176:Y176)=V176,"Vitamin A",MAX(V176:Y176)=W176,"Vitamin C",MAX(V176:Y176)=X176,"Calcium",MAX(V176:Y176)=Y176,"Iron")</f>
        <v>Calcium</v>
      </c>
    </row>
    <row r="177" spans="1:26" x14ac:dyDescent="0.3">
      <c r="A177" t="s">
        <v>417</v>
      </c>
      <c r="B177" t="s">
        <v>200</v>
      </c>
      <c r="C177" t="s">
        <v>201</v>
      </c>
      <c r="D177">
        <v>250</v>
      </c>
      <c r="E177">
        <v>70</v>
      </c>
      <c r="F177" s="2">
        <f t="shared" si="2"/>
        <v>0.28000000000000003</v>
      </c>
      <c r="G177">
        <v>8</v>
      </c>
      <c r="H177">
        <v>13</v>
      </c>
      <c r="I177">
        <v>3.5</v>
      </c>
      <c r="J177">
        <v>18</v>
      </c>
      <c r="K177">
        <v>0</v>
      </c>
      <c r="L177">
        <v>45</v>
      </c>
      <c r="M177">
        <v>14</v>
      </c>
      <c r="N177">
        <v>650</v>
      </c>
      <c r="O177">
        <v>27</v>
      </c>
      <c r="P177">
        <v>27</v>
      </c>
      <c r="Q177">
        <v>9</v>
      </c>
      <c r="R177">
        <v>1</v>
      </c>
      <c r="S177">
        <v>5</v>
      </c>
      <c r="T177">
        <v>2</v>
      </c>
      <c r="U177">
        <v>16</v>
      </c>
      <c r="V177">
        <v>2</v>
      </c>
      <c r="W177">
        <v>2</v>
      </c>
      <c r="X177">
        <v>10</v>
      </c>
      <c r="Y177">
        <v>10</v>
      </c>
      <c r="Z177" t="str" cm="1">
        <f t="array" ref="Z177">_xlfn.IFS(MAX(V177:Y177)=V177,"Vitamin A",MAX(V177:Y177)=W177,"Vitamin C",MAX(V177:Y177)=X177,"Calcium",MAX(V177:Y177)=Y177,"Iron")</f>
        <v>Calcium</v>
      </c>
    </row>
    <row r="178" spans="1:26" x14ac:dyDescent="0.3">
      <c r="A178" t="s">
        <v>219</v>
      </c>
      <c r="B178" t="s">
        <v>220</v>
      </c>
      <c r="C178" t="s">
        <v>221</v>
      </c>
      <c r="D178">
        <v>250</v>
      </c>
      <c r="E178">
        <v>110</v>
      </c>
      <c r="F178" s="2">
        <f t="shared" si="2"/>
        <v>0.44</v>
      </c>
      <c r="G178">
        <v>13</v>
      </c>
      <c r="H178">
        <v>19</v>
      </c>
      <c r="I178">
        <v>7</v>
      </c>
      <c r="J178">
        <v>35</v>
      </c>
      <c r="K178">
        <v>0</v>
      </c>
      <c r="L178">
        <v>0</v>
      </c>
      <c r="M178">
        <v>0</v>
      </c>
      <c r="N178">
        <v>170</v>
      </c>
      <c r="O178">
        <v>7</v>
      </c>
      <c r="P178">
        <v>32</v>
      </c>
      <c r="Q178">
        <v>11</v>
      </c>
      <c r="R178">
        <v>4</v>
      </c>
      <c r="S178">
        <v>15</v>
      </c>
      <c r="T178">
        <v>13</v>
      </c>
      <c r="U178">
        <v>2</v>
      </c>
      <c r="V178">
        <v>4</v>
      </c>
      <c r="W178">
        <v>25</v>
      </c>
      <c r="X178">
        <v>2</v>
      </c>
      <c r="Y178">
        <v>6</v>
      </c>
      <c r="Z178" t="str" cm="1">
        <f t="array" ref="Z178">_xlfn.IFS(MAX(V178:Y178)=V178,"Vitamin A",MAX(V178:Y178)=W178,"Vitamin C",MAX(V178:Y178)=X178,"Calcium",MAX(V178:Y178)=Y178,"Iron")</f>
        <v>Vitamin C</v>
      </c>
    </row>
    <row r="179" spans="1:26" x14ac:dyDescent="0.3">
      <c r="A179" t="s">
        <v>416</v>
      </c>
      <c r="B179" t="s">
        <v>300</v>
      </c>
      <c r="C179" t="s">
        <v>234</v>
      </c>
      <c r="D179">
        <v>250</v>
      </c>
      <c r="E179">
        <v>0</v>
      </c>
      <c r="F179" s="2">
        <f t="shared" si="2"/>
        <v>0</v>
      </c>
      <c r="G179">
        <v>0</v>
      </c>
      <c r="H179">
        <v>0</v>
      </c>
      <c r="I179">
        <v>0</v>
      </c>
      <c r="J179">
        <v>0</v>
      </c>
      <c r="K179">
        <v>0</v>
      </c>
      <c r="L179">
        <v>5</v>
      </c>
      <c r="M179">
        <v>2</v>
      </c>
      <c r="N179">
        <v>135</v>
      </c>
      <c r="O179">
        <v>6</v>
      </c>
      <c r="P179">
        <v>51</v>
      </c>
      <c r="Q179">
        <v>17</v>
      </c>
      <c r="R179">
        <v>1</v>
      </c>
      <c r="S179">
        <v>4</v>
      </c>
      <c r="T179">
        <v>48</v>
      </c>
      <c r="U179">
        <v>12</v>
      </c>
      <c r="V179">
        <v>15</v>
      </c>
      <c r="W179">
        <v>0</v>
      </c>
      <c r="X179">
        <v>40</v>
      </c>
      <c r="Y179">
        <v>0</v>
      </c>
      <c r="Z179" t="str" cm="1">
        <f t="array" ref="Z179">_xlfn.IFS(MAX(V179:Y179)=V179,"Vitamin A",MAX(V179:Y179)=W179,"Vitamin C",MAX(V179:Y179)=X179,"Calcium",MAX(V179:Y179)=Y179,"Iron")</f>
        <v>Calcium</v>
      </c>
    </row>
    <row r="180" spans="1:26" x14ac:dyDescent="0.3">
      <c r="A180" t="s">
        <v>416</v>
      </c>
      <c r="B180" t="s">
        <v>303</v>
      </c>
      <c r="C180" t="s">
        <v>234</v>
      </c>
      <c r="D180">
        <v>250</v>
      </c>
      <c r="E180">
        <v>0</v>
      </c>
      <c r="F180" s="2">
        <f t="shared" si="2"/>
        <v>0</v>
      </c>
      <c r="G180">
        <v>0</v>
      </c>
      <c r="H180">
        <v>0</v>
      </c>
      <c r="I180">
        <v>0</v>
      </c>
      <c r="J180">
        <v>0</v>
      </c>
      <c r="K180">
        <v>0</v>
      </c>
      <c r="L180">
        <v>5</v>
      </c>
      <c r="M180">
        <v>2</v>
      </c>
      <c r="N180">
        <v>135</v>
      </c>
      <c r="O180">
        <v>6</v>
      </c>
      <c r="P180">
        <v>51</v>
      </c>
      <c r="Q180">
        <v>17</v>
      </c>
      <c r="R180">
        <v>1</v>
      </c>
      <c r="S180">
        <v>4</v>
      </c>
      <c r="T180">
        <v>48</v>
      </c>
      <c r="U180">
        <v>12</v>
      </c>
      <c r="V180">
        <v>15</v>
      </c>
      <c r="W180">
        <v>0</v>
      </c>
      <c r="X180">
        <v>40</v>
      </c>
      <c r="Y180">
        <v>0</v>
      </c>
      <c r="Z180" t="str" cm="1">
        <f t="array" ref="Z180">_xlfn.IFS(MAX(V180:Y180)=V180,"Vitamin A",MAX(V180:Y180)=W180,"Vitamin C",MAX(V180:Y180)=X180,"Calcium",MAX(V180:Y180)=Y180,"Iron")</f>
        <v>Calcium</v>
      </c>
    </row>
    <row r="181" spans="1:26" x14ac:dyDescent="0.3">
      <c r="A181" t="s">
        <v>416</v>
      </c>
      <c r="B181" t="s">
        <v>320</v>
      </c>
      <c r="C181" t="s">
        <v>240</v>
      </c>
      <c r="D181">
        <v>250</v>
      </c>
      <c r="E181">
        <v>30</v>
      </c>
      <c r="F181" s="2">
        <f t="shared" si="2"/>
        <v>0.12</v>
      </c>
      <c r="G181">
        <v>3.5</v>
      </c>
      <c r="H181">
        <v>5</v>
      </c>
      <c r="I181">
        <v>2</v>
      </c>
      <c r="J181">
        <v>10</v>
      </c>
      <c r="K181">
        <v>0</v>
      </c>
      <c r="L181">
        <v>15</v>
      </c>
      <c r="M181">
        <v>5</v>
      </c>
      <c r="N181">
        <v>170</v>
      </c>
      <c r="O181">
        <v>7</v>
      </c>
      <c r="P181">
        <v>45</v>
      </c>
      <c r="Q181">
        <v>15</v>
      </c>
      <c r="R181">
        <v>1</v>
      </c>
      <c r="S181">
        <v>3</v>
      </c>
      <c r="T181">
        <v>41</v>
      </c>
      <c r="U181">
        <v>10</v>
      </c>
      <c r="V181">
        <v>10</v>
      </c>
      <c r="W181">
        <v>0</v>
      </c>
      <c r="X181">
        <v>35</v>
      </c>
      <c r="Y181">
        <v>2</v>
      </c>
      <c r="Z181" t="str" cm="1">
        <f t="array" ref="Z181">_xlfn.IFS(MAX(V181:Y181)=V181,"Vitamin A",MAX(V181:Y181)=W181,"Vitamin C",MAX(V181:Y181)=X181,"Calcium",MAX(V181:Y181)=Y181,"Iron")</f>
        <v>Calcium</v>
      </c>
    </row>
    <row r="182" spans="1:26" x14ac:dyDescent="0.3">
      <c r="A182" t="s">
        <v>416</v>
      </c>
      <c r="B182" t="s">
        <v>338</v>
      </c>
      <c r="C182" t="s">
        <v>332</v>
      </c>
      <c r="D182">
        <v>250</v>
      </c>
      <c r="E182">
        <v>80</v>
      </c>
      <c r="F182" s="2">
        <f t="shared" si="2"/>
        <v>0.32</v>
      </c>
      <c r="G182">
        <v>9</v>
      </c>
      <c r="H182">
        <v>14</v>
      </c>
      <c r="I182">
        <v>6</v>
      </c>
      <c r="J182">
        <v>29</v>
      </c>
      <c r="K182">
        <v>0</v>
      </c>
      <c r="L182">
        <v>35</v>
      </c>
      <c r="M182">
        <v>12</v>
      </c>
      <c r="N182">
        <v>75</v>
      </c>
      <c r="O182">
        <v>3</v>
      </c>
      <c r="P182">
        <v>43</v>
      </c>
      <c r="Q182">
        <v>14</v>
      </c>
      <c r="R182">
        <v>0</v>
      </c>
      <c r="S182">
        <v>0</v>
      </c>
      <c r="T182">
        <v>41</v>
      </c>
      <c r="U182">
        <v>2</v>
      </c>
      <c r="V182">
        <v>6</v>
      </c>
      <c r="W182">
        <v>0</v>
      </c>
      <c r="X182">
        <v>8</v>
      </c>
      <c r="Y182">
        <v>0</v>
      </c>
      <c r="Z182" t="str" cm="1">
        <f t="array" ref="Z182">_xlfn.IFS(MAX(V182:Y182)=V182,"Vitamin A",MAX(V182:Y182)=W182,"Vitamin C",MAX(V182:Y182)=X182,"Calcium",MAX(V182:Y182)=Y182,"Iron")</f>
        <v>Calcium</v>
      </c>
    </row>
    <row r="183" spans="1:26" x14ac:dyDescent="0.3">
      <c r="A183" t="s">
        <v>415</v>
      </c>
      <c r="B183" t="s">
        <v>371</v>
      </c>
      <c r="C183" t="s">
        <v>234</v>
      </c>
      <c r="D183">
        <v>250</v>
      </c>
      <c r="E183">
        <v>5</v>
      </c>
      <c r="F183" s="2">
        <f t="shared" si="2"/>
        <v>0.02</v>
      </c>
      <c r="G183">
        <v>1</v>
      </c>
      <c r="H183">
        <v>1</v>
      </c>
      <c r="I183">
        <v>0</v>
      </c>
      <c r="J183">
        <v>0</v>
      </c>
      <c r="K183">
        <v>0</v>
      </c>
      <c r="L183">
        <v>5</v>
      </c>
      <c r="M183">
        <v>1</v>
      </c>
      <c r="N183">
        <v>60</v>
      </c>
      <c r="O183">
        <v>2</v>
      </c>
      <c r="P183">
        <v>58</v>
      </c>
      <c r="Q183">
        <v>19</v>
      </c>
      <c r="R183">
        <v>3</v>
      </c>
      <c r="S183">
        <v>13</v>
      </c>
      <c r="T183">
        <v>54</v>
      </c>
      <c r="U183">
        <v>4</v>
      </c>
      <c r="V183">
        <v>0</v>
      </c>
      <c r="W183">
        <v>35</v>
      </c>
      <c r="X183">
        <v>8</v>
      </c>
      <c r="Y183">
        <v>4</v>
      </c>
      <c r="Z183" t="str" cm="1">
        <f t="array" ref="Z183">_xlfn.IFS(MAX(V183:Y183)=V183,"Vitamin A",MAX(V183:Y183)=W183,"Vitamin C",MAX(V183:Y183)=X183,"Calcium",MAX(V183:Y183)=Y183,"Iron")</f>
        <v>Vitamin C</v>
      </c>
    </row>
    <row r="184" spans="1:26" x14ac:dyDescent="0.3">
      <c r="A184" t="s">
        <v>413</v>
      </c>
      <c r="B184" t="s">
        <v>115</v>
      </c>
      <c r="C184" t="s">
        <v>116</v>
      </c>
      <c r="D184">
        <v>240</v>
      </c>
      <c r="E184">
        <v>70</v>
      </c>
      <c r="F184" s="2">
        <f t="shared" si="2"/>
        <v>0.29166666666666669</v>
      </c>
      <c r="G184">
        <v>8</v>
      </c>
      <c r="H184">
        <v>12</v>
      </c>
      <c r="I184">
        <v>3</v>
      </c>
      <c r="J184">
        <v>15</v>
      </c>
      <c r="K184">
        <v>0</v>
      </c>
      <c r="L184">
        <v>30</v>
      </c>
      <c r="M184">
        <v>10</v>
      </c>
      <c r="N184">
        <v>480</v>
      </c>
      <c r="O184">
        <v>20</v>
      </c>
      <c r="P184">
        <v>32</v>
      </c>
      <c r="Q184">
        <v>11</v>
      </c>
      <c r="R184">
        <v>1</v>
      </c>
      <c r="S184">
        <v>6</v>
      </c>
      <c r="T184">
        <v>6</v>
      </c>
      <c r="U184">
        <v>12</v>
      </c>
      <c r="V184">
        <v>2</v>
      </c>
      <c r="W184">
        <v>2</v>
      </c>
      <c r="X184">
        <v>10</v>
      </c>
      <c r="Y184">
        <v>15</v>
      </c>
      <c r="Z184" t="str" cm="1">
        <f t="array" ref="Z184">_xlfn.IFS(MAX(V184:Y184)=V184,"Vitamin A",MAX(V184:Y184)=W184,"Vitamin C",MAX(V184:Y184)=X184,"Calcium",MAX(V184:Y184)=Y184,"Iron")</f>
        <v>Iron</v>
      </c>
    </row>
    <row r="185" spans="1:26" x14ac:dyDescent="0.3">
      <c r="A185" t="s">
        <v>416</v>
      </c>
      <c r="B185" t="s">
        <v>306</v>
      </c>
      <c r="C185" t="s">
        <v>234</v>
      </c>
      <c r="D185">
        <v>240</v>
      </c>
      <c r="E185">
        <v>0</v>
      </c>
      <c r="F185" s="2">
        <f t="shared" si="2"/>
        <v>0</v>
      </c>
      <c r="G185">
        <v>0</v>
      </c>
      <c r="H185">
        <v>0</v>
      </c>
      <c r="I185">
        <v>0</v>
      </c>
      <c r="J185">
        <v>0</v>
      </c>
      <c r="K185">
        <v>0</v>
      </c>
      <c r="L185">
        <v>5</v>
      </c>
      <c r="M185">
        <v>2</v>
      </c>
      <c r="N185">
        <v>140</v>
      </c>
      <c r="O185">
        <v>6</v>
      </c>
      <c r="P185">
        <v>49</v>
      </c>
      <c r="Q185">
        <v>16</v>
      </c>
      <c r="R185">
        <v>1</v>
      </c>
      <c r="S185">
        <v>4</v>
      </c>
      <c r="T185">
        <v>46</v>
      </c>
      <c r="U185">
        <v>12</v>
      </c>
      <c r="V185">
        <v>15</v>
      </c>
      <c r="W185">
        <v>0</v>
      </c>
      <c r="X185">
        <v>40</v>
      </c>
      <c r="Y185">
        <v>2</v>
      </c>
      <c r="Z185" t="str" cm="1">
        <f t="array" ref="Z185">_xlfn.IFS(MAX(V185:Y185)=V185,"Vitamin A",MAX(V185:Y185)=W185,"Vitamin C",MAX(V185:Y185)=X185,"Calcium",MAX(V185:Y185)=Y185,"Iron")</f>
        <v>Calcium</v>
      </c>
    </row>
    <row r="186" spans="1:26" x14ac:dyDescent="0.3">
      <c r="A186" t="s">
        <v>416</v>
      </c>
      <c r="B186" t="s">
        <v>341</v>
      </c>
      <c r="C186" t="s">
        <v>332</v>
      </c>
      <c r="D186">
        <v>240</v>
      </c>
      <c r="E186">
        <v>80</v>
      </c>
      <c r="F186" s="2">
        <f t="shared" si="2"/>
        <v>0.33333333333333331</v>
      </c>
      <c r="G186">
        <v>9</v>
      </c>
      <c r="H186">
        <v>14</v>
      </c>
      <c r="I186">
        <v>6</v>
      </c>
      <c r="J186">
        <v>29</v>
      </c>
      <c r="K186">
        <v>0</v>
      </c>
      <c r="L186">
        <v>35</v>
      </c>
      <c r="M186">
        <v>12</v>
      </c>
      <c r="N186">
        <v>80</v>
      </c>
      <c r="O186">
        <v>3</v>
      </c>
      <c r="P186">
        <v>41</v>
      </c>
      <c r="Q186">
        <v>14</v>
      </c>
      <c r="R186">
        <v>0</v>
      </c>
      <c r="S186">
        <v>0</v>
      </c>
      <c r="T186">
        <v>39</v>
      </c>
      <c r="U186">
        <v>2</v>
      </c>
      <c r="V186">
        <v>6</v>
      </c>
      <c r="W186">
        <v>0</v>
      </c>
      <c r="X186">
        <v>8</v>
      </c>
      <c r="Y186">
        <v>0</v>
      </c>
      <c r="Z186" t="str" cm="1">
        <f t="array" ref="Z186">_xlfn.IFS(MAX(V186:Y186)=V186,"Vitamin A",MAX(V186:Y186)=W186,"Vitamin C",MAX(V186:Y186)=X186,"Calcium",MAX(V186:Y186)=Y186,"Iron")</f>
        <v>Calcium</v>
      </c>
    </row>
    <row r="187" spans="1:26" x14ac:dyDescent="0.3">
      <c r="A187" t="s">
        <v>416</v>
      </c>
      <c r="B187" t="s">
        <v>348</v>
      </c>
      <c r="C187" t="s">
        <v>240</v>
      </c>
      <c r="D187">
        <v>240</v>
      </c>
      <c r="E187">
        <v>45</v>
      </c>
      <c r="F187" s="2">
        <f t="shared" si="2"/>
        <v>0.1875</v>
      </c>
      <c r="G187">
        <v>5</v>
      </c>
      <c r="H187">
        <v>8</v>
      </c>
      <c r="I187">
        <v>3</v>
      </c>
      <c r="J187">
        <v>16</v>
      </c>
      <c r="K187">
        <v>0</v>
      </c>
      <c r="L187">
        <v>20</v>
      </c>
      <c r="M187">
        <v>7</v>
      </c>
      <c r="N187">
        <v>125</v>
      </c>
      <c r="O187">
        <v>5</v>
      </c>
      <c r="P187">
        <v>41</v>
      </c>
      <c r="Q187">
        <v>14</v>
      </c>
      <c r="R187">
        <v>1</v>
      </c>
      <c r="S187">
        <v>4</v>
      </c>
      <c r="T187">
        <v>35</v>
      </c>
      <c r="U187">
        <v>8</v>
      </c>
      <c r="V187">
        <v>10</v>
      </c>
      <c r="W187">
        <v>0</v>
      </c>
      <c r="X187">
        <v>25</v>
      </c>
      <c r="Y187">
        <v>4</v>
      </c>
      <c r="Z187" t="str" cm="1">
        <f t="array" ref="Z187">_xlfn.IFS(MAX(V187:Y187)=V187,"Vitamin A",MAX(V187:Y187)=W187,"Vitamin C",MAX(V187:Y187)=X187,"Calcium",MAX(V187:Y187)=Y187,"Iron")</f>
        <v>Calcium</v>
      </c>
    </row>
    <row r="188" spans="1:26" x14ac:dyDescent="0.3">
      <c r="A188" t="s">
        <v>417</v>
      </c>
      <c r="B188" t="s">
        <v>206</v>
      </c>
      <c r="C188" t="s">
        <v>207</v>
      </c>
      <c r="D188">
        <v>230</v>
      </c>
      <c r="E188">
        <v>100</v>
      </c>
      <c r="F188" s="2">
        <f t="shared" si="2"/>
        <v>0.43478260869565216</v>
      </c>
      <c r="G188">
        <v>11</v>
      </c>
      <c r="H188">
        <v>17</v>
      </c>
      <c r="I188">
        <v>1.5</v>
      </c>
      <c r="J188">
        <v>8</v>
      </c>
      <c r="K188">
        <v>0</v>
      </c>
      <c r="L188">
        <v>0</v>
      </c>
      <c r="M188">
        <v>0</v>
      </c>
      <c r="N188">
        <v>130</v>
      </c>
      <c r="O188">
        <v>5</v>
      </c>
      <c r="P188">
        <v>30</v>
      </c>
      <c r="Q188">
        <v>10</v>
      </c>
      <c r="R188">
        <v>2</v>
      </c>
      <c r="S188">
        <v>10</v>
      </c>
      <c r="T188">
        <v>0</v>
      </c>
      <c r="U188">
        <v>2</v>
      </c>
      <c r="V188">
        <v>0</v>
      </c>
      <c r="W188">
        <v>30</v>
      </c>
      <c r="X188">
        <v>0</v>
      </c>
      <c r="Y188">
        <v>4</v>
      </c>
      <c r="Z188" t="str" cm="1">
        <f t="array" ref="Z188">_xlfn.IFS(MAX(V188:Y188)=V188,"Vitamin A",MAX(V188:Y188)=W188,"Vitamin C",MAX(V188:Y188)=X188,"Calcium",MAX(V188:Y188)=Y188,"Iron")</f>
        <v>Vitamin C</v>
      </c>
    </row>
    <row r="189" spans="1:26" x14ac:dyDescent="0.3">
      <c r="A189" t="s">
        <v>416</v>
      </c>
      <c r="B189" t="s">
        <v>354</v>
      </c>
      <c r="C189" t="s">
        <v>240</v>
      </c>
      <c r="D189">
        <v>230</v>
      </c>
      <c r="E189">
        <v>45</v>
      </c>
      <c r="F189" s="2">
        <f t="shared" si="2"/>
        <v>0.19565217391304349</v>
      </c>
      <c r="G189">
        <v>5</v>
      </c>
      <c r="H189">
        <v>8</v>
      </c>
      <c r="I189">
        <v>3</v>
      </c>
      <c r="J189">
        <v>16</v>
      </c>
      <c r="K189">
        <v>0</v>
      </c>
      <c r="L189">
        <v>20</v>
      </c>
      <c r="M189">
        <v>7</v>
      </c>
      <c r="N189">
        <v>140</v>
      </c>
      <c r="O189">
        <v>6</v>
      </c>
      <c r="P189">
        <v>38</v>
      </c>
      <c r="Q189">
        <v>13</v>
      </c>
      <c r="R189">
        <v>0</v>
      </c>
      <c r="S189">
        <v>0</v>
      </c>
      <c r="T189">
        <v>33</v>
      </c>
      <c r="U189">
        <v>8</v>
      </c>
      <c r="V189">
        <v>10</v>
      </c>
      <c r="W189">
        <v>0</v>
      </c>
      <c r="X189">
        <v>25</v>
      </c>
      <c r="Y189">
        <v>2</v>
      </c>
      <c r="Z189" t="str" cm="1">
        <f t="array" ref="Z189">_xlfn.IFS(MAX(V189:Y189)=V189,"Vitamin A",MAX(V189:Y189)=W189,"Vitamin C",MAX(V189:Y189)=X189,"Calcium",MAX(V189:Y189)=Y189,"Iron")</f>
        <v>Calcium</v>
      </c>
    </row>
    <row r="190" spans="1:26" x14ac:dyDescent="0.3">
      <c r="A190" t="s">
        <v>183</v>
      </c>
      <c r="B190" t="s">
        <v>188</v>
      </c>
      <c r="C190" t="s">
        <v>74</v>
      </c>
      <c r="D190">
        <v>220</v>
      </c>
      <c r="E190">
        <v>80</v>
      </c>
      <c r="F190" s="2">
        <f t="shared" si="2"/>
        <v>0.36363636363636365</v>
      </c>
      <c r="G190">
        <v>8</v>
      </c>
      <c r="H190">
        <v>13</v>
      </c>
      <c r="I190">
        <v>4</v>
      </c>
      <c r="J190">
        <v>20</v>
      </c>
      <c r="K190">
        <v>0</v>
      </c>
      <c r="L190">
        <v>85</v>
      </c>
      <c r="M190">
        <v>29</v>
      </c>
      <c r="N190">
        <v>690</v>
      </c>
      <c r="O190">
        <v>29</v>
      </c>
      <c r="P190">
        <v>8</v>
      </c>
      <c r="Q190">
        <v>3</v>
      </c>
      <c r="R190">
        <v>2</v>
      </c>
      <c r="S190">
        <v>10</v>
      </c>
      <c r="T190">
        <v>4</v>
      </c>
      <c r="U190">
        <v>29</v>
      </c>
      <c r="V190">
        <v>110</v>
      </c>
      <c r="W190">
        <v>30</v>
      </c>
      <c r="X190">
        <v>15</v>
      </c>
      <c r="Y190">
        <v>8</v>
      </c>
      <c r="Z190" t="str" cm="1">
        <f t="array" ref="Z190">_xlfn.IFS(MAX(V190:Y190)=V190,"Vitamin A",MAX(V190:Y190)=W190,"Vitamin C",MAX(V190:Y190)=X190,"Calcium",MAX(V190:Y190)=Y190,"Iron")</f>
        <v>Vitamin A</v>
      </c>
    </row>
    <row r="191" spans="1:26" x14ac:dyDescent="0.3">
      <c r="A191" t="s">
        <v>416</v>
      </c>
      <c r="B191" t="s">
        <v>275</v>
      </c>
      <c r="C191" t="s">
        <v>238</v>
      </c>
      <c r="D191">
        <v>220</v>
      </c>
      <c r="E191">
        <v>0</v>
      </c>
      <c r="F191" s="2">
        <f t="shared" si="2"/>
        <v>0</v>
      </c>
      <c r="G191">
        <v>0</v>
      </c>
      <c r="H191">
        <v>0</v>
      </c>
      <c r="I191">
        <v>0</v>
      </c>
      <c r="J191">
        <v>0</v>
      </c>
      <c r="K191">
        <v>0</v>
      </c>
      <c r="L191">
        <v>0</v>
      </c>
      <c r="M191">
        <v>0</v>
      </c>
      <c r="N191">
        <v>10</v>
      </c>
      <c r="O191">
        <v>1</v>
      </c>
      <c r="P191">
        <v>54</v>
      </c>
      <c r="Q191">
        <v>18</v>
      </c>
      <c r="R191">
        <v>0</v>
      </c>
      <c r="S191">
        <v>0</v>
      </c>
      <c r="T191">
        <v>54</v>
      </c>
      <c r="U191">
        <v>1</v>
      </c>
      <c r="V191">
        <v>0</v>
      </c>
      <c r="W191">
        <v>0</v>
      </c>
      <c r="X191">
        <v>0</v>
      </c>
      <c r="Y191">
        <v>0</v>
      </c>
      <c r="Z191" t="str" cm="1">
        <f t="array" ref="Z191">_xlfn.IFS(MAX(V191:Y191)=V191,"Vitamin A",MAX(V191:Y191)=W191,"Vitamin C",MAX(V191:Y191)=X191,"Calcium",MAX(V191:Y191)=Y191,"Iron")</f>
        <v>Vitamin A</v>
      </c>
    </row>
    <row r="192" spans="1:26" x14ac:dyDescent="0.3">
      <c r="A192" t="s">
        <v>416</v>
      </c>
      <c r="B192" t="s">
        <v>310</v>
      </c>
      <c r="C192" t="s">
        <v>283</v>
      </c>
      <c r="D192">
        <v>220</v>
      </c>
      <c r="E192">
        <v>0</v>
      </c>
      <c r="F192" s="2">
        <f t="shared" si="2"/>
        <v>0</v>
      </c>
      <c r="G192">
        <v>0.5</v>
      </c>
      <c r="H192">
        <v>1</v>
      </c>
      <c r="I192">
        <v>0</v>
      </c>
      <c r="J192">
        <v>0</v>
      </c>
      <c r="K192">
        <v>0</v>
      </c>
      <c r="L192">
        <v>10</v>
      </c>
      <c r="M192">
        <v>3</v>
      </c>
      <c r="N192">
        <v>240</v>
      </c>
      <c r="O192">
        <v>10</v>
      </c>
      <c r="P192">
        <v>38</v>
      </c>
      <c r="Q192">
        <v>13</v>
      </c>
      <c r="R192">
        <v>2</v>
      </c>
      <c r="S192">
        <v>7</v>
      </c>
      <c r="T192">
        <v>21</v>
      </c>
      <c r="U192">
        <v>16</v>
      </c>
      <c r="V192">
        <v>15</v>
      </c>
      <c r="W192">
        <v>0</v>
      </c>
      <c r="X192">
        <v>50</v>
      </c>
      <c r="Y192">
        <v>2</v>
      </c>
      <c r="Z192" t="str" cm="1">
        <f t="array" ref="Z192">_xlfn.IFS(MAX(V192:Y192)=V192,"Vitamin A",MAX(V192:Y192)=W192,"Vitamin C",MAX(V192:Y192)=X192,"Calcium",MAX(V192:Y192)=Y192,"Iron")</f>
        <v>Calcium</v>
      </c>
    </row>
    <row r="193" spans="1:26" x14ac:dyDescent="0.3">
      <c r="A193" t="s">
        <v>415</v>
      </c>
      <c r="B193" t="s">
        <v>367</v>
      </c>
      <c r="C193" t="s">
        <v>240</v>
      </c>
      <c r="D193">
        <v>220</v>
      </c>
      <c r="E193">
        <v>5</v>
      </c>
      <c r="F193" s="2">
        <f t="shared" si="2"/>
        <v>2.2727272727272728E-2</v>
      </c>
      <c r="G193">
        <v>0.5</v>
      </c>
      <c r="H193">
        <v>1</v>
      </c>
      <c r="I193">
        <v>0</v>
      </c>
      <c r="J193">
        <v>0</v>
      </c>
      <c r="K193">
        <v>0</v>
      </c>
      <c r="L193">
        <v>5</v>
      </c>
      <c r="M193">
        <v>1</v>
      </c>
      <c r="N193">
        <v>40</v>
      </c>
      <c r="O193">
        <v>2</v>
      </c>
      <c r="P193">
        <v>50</v>
      </c>
      <c r="Q193">
        <v>17</v>
      </c>
      <c r="R193">
        <v>3</v>
      </c>
      <c r="S193">
        <v>12</v>
      </c>
      <c r="T193">
        <v>44</v>
      </c>
      <c r="U193">
        <v>2</v>
      </c>
      <c r="V193">
        <v>0</v>
      </c>
      <c r="W193">
        <v>2</v>
      </c>
      <c r="X193">
        <v>6</v>
      </c>
      <c r="Y193">
        <v>2</v>
      </c>
      <c r="Z193" t="str" cm="1">
        <f t="array" ref="Z193">_xlfn.IFS(MAX(V193:Y193)=V193,"Vitamin A",MAX(V193:Y193)=W193,"Vitamin C",MAX(V193:Y193)=X193,"Calcium",MAX(V193:Y193)=Y193,"Iron")</f>
        <v>Calcium</v>
      </c>
    </row>
    <row r="194" spans="1:26" x14ac:dyDescent="0.3">
      <c r="A194" t="s">
        <v>416</v>
      </c>
      <c r="B194" t="s">
        <v>281</v>
      </c>
      <c r="C194" t="s">
        <v>234</v>
      </c>
      <c r="D194">
        <v>210</v>
      </c>
      <c r="E194">
        <v>90</v>
      </c>
      <c r="F194" s="2">
        <f t="shared" si="2"/>
        <v>0.42857142857142855</v>
      </c>
      <c r="G194">
        <v>10</v>
      </c>
      <c r="H194">
        <v>16</v>
      </c>
      <c r="I194">
        <v>6</v>
      </c>
      <c r="J194">
        <v>30</v>
      </c>
      <c r="K194">
        <v>0</v>
      </c>
      <c r="L194">
        <v>30</v>
      </c>
      <c r="M194">
        <v>11</v>
      </c>
      <c r="N194">
        <v>140</v>
      </c>
      <c r="O194">
        <v>6</v>
      </c>
      <c r="P194">
        <v>18</v>
      </c>
      <c r="Q194">
        <v>6</v>
      </c>
      <c r="R194">
        <v>1</v>
      </c>
      <c r="S194">
        <v>4</v>
      </c>
      <c r="T194">
        <v>15</v>
      </c>
      <c r="U194">
        <v>11</v>
      </c>
      <c r="V194">
        <v>10</v>
      </c>
      <c r="W194">
        <v>0</v>
      </c>
      <c r="X194">
        <v>35</v>
      </c>
      <c r="Y194">
        <v>0</v>
      </c>
      <c r="Z194" t="str" cm="1">
        <f t="array" ref="Z194">_xlfn.IFS(MAX(V194:Y194)=V194,"Vitamin A",MAX(V194:Y194)=W194,"Vitamin C",MAX(V194:Y194)=X194,"Calcium",MAX(V194:Y194)=Y194,"Iron")</f>
        <v>Calcium</v>
      </c>
    </row>
    <row r="195" spans="1:26" x14ac:dyDescent="0.3">
      <c r="A195" t="s">
        <v>416</v>
      </c>
      <c r="B195" t="s">
        <v>293</v>
      </c>
      <c r="C195" t="s">
        <v>240</v>
      </c>
      <c r="D195">
        <v>210</v>
      </c>
      <c r="E195">
        <v>80</v>
      </c>
      <c r="F195" s="2">
        <f t="shared" ref="F195:F258" si="3">IFERROR(E195/D195,0)</f>
        <v>0.38095238095238093</v>
      </c>
      <c r="G195">
        <v>9</v>
      </c>
      <c r="H195">
        <v>13</v>
      </c>
      <c r="I195">
        <v>5</v>
      </c>
      <c r="J195">
        <v>24</v>
      </c>
      <c r="K195">
        <v>0</v>
      </c>
      <c r="L195">
        <v>25</v>
      </c>
      <c r="M195">
        <v>9</v>
      </c>
      <c r="N195">
        <v>150</v>
      </c>
      <c r="O195">
        <v>6</v>
      </c>
      <c r="P195">
        <v>24</v>
      </c>
      <c r="Q195">
        <v>8</v>
      </c>
      <c r="R195">
        <v>1</v>
      </c>
      <c r="S195">
        <v>4</v>
      </c>
      <c r="T195">
        <v>12</v>
      </c>
      <c r="U195">
        <v>9</v>
      </c>
      <c r="V195">
        <v>8</v>
      </c>
      <c r="W195">
        <v>0</v>
      </c>
      <c r="X195">
        <v>30</v>
      </c>
      <c r="Y195">
        <v>0</v>
      </c>
      <c r="Z195" t="str" cm="1">
        <f t="array" ref="Z195">_xlfn.IFS(MAX(V195:Y195)=V195,"Vitamin A",MAX(V195:Y195)=W195,"Vitamin C",MAX(V195:Y195)=X195,"Calcium",MAX(V195:Y195)=Y195,"Iron")</f>
        <v>Calcium</v>
      </c>
    </row>
    <row r="196" spans="1:26" x14ac:dyDescent="0.3">
      <c r="A196" t="s">
        <v>415</v>
      </c>
      <c r="B196" t="s">
        <v>370</v>
      </c>
      <c r="C196" t="s">
        <v>240</v>
      </c>
      <c r="D196">
        <v>210</v>
      </c>
      <c r="E196">
        <v>5</v>
      </c>
      <c r="F196" s="2">
        <f t="shared" si="3"/>
        <v>2.3809523809523808E-2</v>
      </c>
      <c r="G196">
        <v>0.5</v>
      </c>
      <c r="H196">
        <v>1</v>
      </c>
      <c r="I196">
        <v>0</v>
      </c>
      <c r="J196">
        <v>0</v>
      </c>
      <c r="K196">
        <v>0</v>
      </c>
      <c r="L196">
        <v>5</v>
      </c>
      <c r="M196">
        <v>1</v>
      </c>
      <c r="N196">
        <v>50</v>
      </c>
      <c r="O196">
        <v>2</v>
      </c>
      <c r="P196">
        <v>47</v>
      </c>
      <c r="Q196">
        <v>16</v>
      </c>
      <c r="R196">
        <v>3</v>
      </c>
      <c r="S196">
        <v>10</v>
      </c>
      <c r="T196">
        <v>44</v>
      </c>
      <c r="U196">
        <v>3</v>
      </c>
      <c r="V196">
        <v>0</v>
      </c>
      <c r="W196">
        <v>30</v>
      </c>
      <c r="X196">
        <v>8</v>
      </c>
      <c r="Y196">
        <v>2</v>
      </c>
      <c r="Z196" t="str" cm="1">
        <f t="array" ref="Z196">_xlfn.IFS(MAX(V196:Y196)=V196,"Vitamin A",MAX(V196:Y196)=W196,"Vitamin C",MAX(V196:Y196)=X196,"Calcium",MAX(V196:Y196)=Y196,"Iron")</f>
        <v>Vitamin C</v>
      </c>
    </row>
    <row r="197" spans="1:26" x14ac:dyDescent="0.3">
      <c r="A197" t="s">
        <v>415</v>
      </c>
      <c r="B197" t="s">
        <v>373</v>
      </c>
      <c r="C197" t="s">
        <v>240</v>
      </c>
      <c r="D197">
        <v>210</v>
      </c>
      <c r="E197">
        <v>5</v>
      </c>
      <c r="F197" s="2">
        <f t="shared" si="3"/>
        <v>2.3809523809523808E-2</v>
      </c>
      <c r="G197">
        <v>0.5</v>
      </c>
      <c r="H197">
        <v>1</v>
      </c>
      <c r="I197">
        <v>0</v>
      </c>
      <c r="J197">
        <v>0</v>
      </c>
      <c r="K197">
        <v>0</v>
      </c>
      <c r="L197">
        <v>5</v>
      </c>
      <c r="M197">
        <v>1</v>
      </c>
      <c r="N197">
        <v>40</v>
      </c>
      <c r="O197">
        <v>2</v>
      </c>
      <c r="P197">
        <v>50</v>
      </c>
      <c r="Q197">
        <v>17</v>
      </c>
      <c r="R197">
        <v>1</v>
      </c>
      <c r="S197">
        <v>4</v>
      </c>
      <c r="T197">
        <v>46</v>
      </c>
      <c r="U197">
        <v>2</v>
      </c>
      <c r="V197">
        <v>30</v>
      </c>
      <c r="W197">
        <v>20</v>
      </c>
      <c r="X197">
        <v>8</v>
      </c>
      <c r="Y197">
        <v>2</v>
      </c>
      <c r="Z197" t="str" cm="1">
        <f t="array" ref="Z197">_xlfn.IFS(MAX(V197:Y197)=V197,"Vitamin A",MAX(V197:Y197)=W197,"Vitamin C",MAX(V197:Y197)=X197,"Calcium",MAX(V197:Y197)=Y197,"Iron")</f>
        <v>Vitamin A</v>
      </c>
    </row>
    <row r="198" spans="1:26" x14ac:dyDescent="0.3">
      <c r="A198" t="s">
        <v>232</v>
      </c>
      <c r="B198" t="s">
        <v>235</v>
      </c>
      <c r="C198" t="s">
        <v>236</v>
      </c>
      <c r="D198">
        <v>200</v>
      </c>
      <c r="E198">
        <v>0</v>
      </c>
      <c r="F198" s="2">
        <f t="shared" si="3"/>
        <v>0</v>
      </c>
      <c r="G198">
        <v>0</v>
      </c>
      <c r="H198">
        <v>0</v>
      </c>
      <c r="I198">
        <v>0</v>
      </c>
      <c r="J198">
        <v>0</v>
      </c>
      <c r="K198">
        <v>0</v>
      </c>
      <c r="L198">
        <v>0</v>
      </c>
      <c r="M198">
        <v>0</v>
      </c>
      <c r="N198">
        <v>5</v>
      </c>
      <c r="O198">
        <v>0</v>
      </c>
      <c r="P198">
        <v>55</v>
      </c>
      <c r="Q198">
        <v>18</v>
      </c>
      <c r="R198">
        <v>0</v>
      </c>
      <c r="S198">
        <v>0</v>
      </c>
      <c r="T198">
        <v>55</v>
      </c>
      <c r="U198">
        <v>0</v>
      </c>
      <c r="V198">
        <v>0</v>
      </c>
      <c r="W198">
        <v>0</v>
      </c>
      <c r="X198">
        <v>0</v>
      </c>
      <c r="Y198">
        <v>0</v>
      </c>
      <c r="Z198" t="str" cm="1">
        <f t="array" ref="Z198">_xlfn.IFS(MAX(V198:Y198)=V198,"Vitamin A",MAX(V198:Y198)=W198,"Vitamin C",MAX(V198:Y198)=X198,"Calcium",MAX(V198:Y198)=Y198,"Iron")</f>
        <v>Vitamin A</v>
      </c>
    </row>
    <row r="199" spans="1:26" x14ac:dyDescent="0.3">
      <c r="A199" t="s">
        <v>232</v>
      </c>
      <c r="B199" t="s">
        <v>254</v>
      </c>
      <c r="C199" t="s">
        <v>236</v>
      </c>
      <c r="D199">
        <v>200</v>
      </c>
      <c r="E199">
        <v>0</v>
      </c>
      <c r="F199" s="2">
        <f t="shared" si="3"/>
        <v>0</v>
      </c>
      <c r="G199">
        <v>0</v>
      </c>
      <c r="H199">
        <v>0</v>
      </c>
      <c r="I199">
        <v>0</v>
      </c>
      <c r="J199">
        <v>0</v>
      </c>
      <c r="K199">
        <v>0</v>
      </c>
      <c r="L199">
        <v>0</v>
      </c>
      <c r="M199">
        <v>0</v>
      </c>
      <c r="N199">
        <v>45</v>
      </c>
      <c r="O199">
        <v>2</v>
      </c>
      <c r="P199">
        <v>54</v>
      </c>
      <c r="Q199">
        <v>18</v>
      </c>
      <c r="R199">
        <v>0</v>
      </c>
      <c r="S199">
        <v>0</v>
      </c>
      <c r="T199">
        <v>54</v>
      </c>
      <c r="U199">
        <v>0</v>
      </c>
      <c r="V199">
        <v>0</v>
      </c>
      <c r="W199">
        <v>0</v>
      </c>
      <c r="X199">
        <v>0</v>
      </c>
      <c r="Y199">
        <v>0</v>
      </c>
      <c r="Z199" t="str" cm="1">
        <f t="array" ref="Z199">_xlfn.IFS(MAX(V199:Y199)=V199,"Vitamin A",MAX(V199:Y199)=W199,"Vitamin C",MAX(V199:Y199)=X199,"Calcium",MAX(V199:Y199)=Y199,"Iron")</f>
        <v>Vitamin A</v>
      </c>
    </row>
    <row r="200" spans="1:26" x14ac:dyDescent="0.3">
      <c r="A200" t="s">
        <v>416</v>
      </c>
      <c r="B200" t="s">
        <v>299</v>
      </c>
      <c r="C200" t="s">
        <v>240</v>
      </c>
      <c r="D200">
        <v>200</v>
      </c>
      <c r="E200">
        <v>0</v>
      </c>
      <c r="F200" s="2">
        <f t="shared" si="3"/>
        <v>0</v>
      </c>
      <c r="G200">
        <v>0</v>
      </c>
      <c r="H200">
        <v>0</v>
      </c>
      <c r="I200">
        <v>0</v>
      </c>
      <c r="J200">
        <v>0</v>
      </c>
      <c r="K200">
        <v>0</v>
      </c>
      <c r="L200">
        <v>5</v>
      </c>
      <c r="M200">
        <v>2</v>
      </c>
      <c r="N200">
        <v>110</v>
      </c>
      <c r="O200">
        <v>5</v>
      </c>
      <c r="P200">
        <v>41</v>
      </c>
      <c r="Q200">
        <v>14</v>
      </c>
      <c r="R200">
        <v>1</v>
      </c>
      <c r="S200">
        <v>3</v>
      </c>
      <c r="T200">
        <v>39</v>
      </c>
      <c r="U200">
        <v>10</v>
      </c>
      <c r="V200">
        <v>10</v>
      </c>
      <c r="W200">
        <v>0</v>
      </c>
      <c r="X200">
        <v>30</v>
      </c>
      <c r="Y200">
        <v>0</v>
      </c>
      <c r="Z200" t="str" cm="1">
        <f t="array" ref="Z200">_xlfn.IFS(MAX(V200:Y200)=V200,"Vitamin A",MAX(V200:Y200)=W200,"Vitamin C",MAX(V200:Y200)=X200,"Calcium",MAX(V200:Y200)=Y200,"Iron")</f>
        <v>Calcium</v>
      </c>
    </row>
    <row r="201" spans="1:26" x14ac:dyDescent="0.3">
      <c r="A201" t="s">
        <v>416</v>
      </c>
      <c r="B201" t="s">
        <v>302</v>
      </c>
      <c r="C201" t="s">
        <v>240</v>
      </c>
      <c r="D201">
        <v>200</v>
      </c>
      <c r="E201">
        <v>0</v>
      </c>
      <c r="F201" s="2">
        <f t="shared" si="3"/>
        <v>0</v>
      </c>
      <c r="G201">
        <v>0</v>
      </c>
      <c r="H201">
        <v>0</v>
      </c>
      <c r="I201">
        <v>0</v>
      </c>
      <c r="J201">
        <v>0</v>
      </c>
      <c r="K201">
        <v>0</v>
      </c>
      <c r="L201">
        <v>5</v>
      </c>
      <c r="M201">
        <v>2</v>
      </c>
      <c r="N201">
        <v>110</v>
      </c>
      <c r="O201">
        <v>5</v>
      </c>
      <c r="P201">
        <v>40</v>
      </c>
      <c r="Q201">
        <v>13</v>
      </c>
      <c r="R201">
        <v>1</v>
      </c>
      <c r="S201">
        <v>3</v>
      </c>
      <c r="T201">
        <v>38</v>
      </c>
      <c r="U201">
        <v>10</v>
      </c>
      <c r="V201">
        <v>10</v>
      </c>
      <c r="W201">
        <v>0</v>
      </c>
      <c r="X201">
        <v>30</v>
      </c>
      <c r="Y201">
        <v>0</v>
      </c>
      <c r="Z201" t="str" cm="1">
        <f t="array" ref="Z201">_xlfn.IFS(MAX(V201:Y201)=V201,"Vitamin A",MAX(V201:Y201)=W201,"Vitamin C",MAX(V201:Y201)=X201,"Calcium",MAX(V201:Y201)=Y201,"Iron")</f>
        <v>Calcium</v>
      </c>
    </row>
    <row r="202" spans="1:26" x14ac:dyDescent="0.3">
      <c r="A202" t="s">
        <v>414</v>
      </c>
      <c r="B202" t="s">
        <v>171</v>
      </c>
      <c r="C202" t="s">
        <v>172</v>
      </c>
      <c r="D202">
        <v>190</v>
      </c>
      <c r="E202">
        <v>110</v>
      </c>
      <c r="F202" s="2">
        <f t="shared" si="3"/>
        <v>0.57894736842105265</v>
      </c>
      <c r="G202">
        <v>12</v>
      </c>
      <c r="H202">
        <v>18</v>
      </c>
      <c r="I202">
        <v>2</v>
      </c>
      <c r="J202">
        <v>10</v>
      </c>
      <c r="K202">
        <v>0</v>
      </c>
      <c r="L202">
        <v>25</v>
      </c>
      <c r="M202">
        <v>9</v>
      </c>
      <c r="N202">
        <v>360</v>
      </c>
      <c r="O202">
        <v>15</v>
      </c>
      <c r="P202">
        <v>12</v>
      </c>
      <c r="Q202">
        <v>4</v>
      </c>
      <c r="R202">
        <v>1</v>
      </c>
      <c r="S202">
        <v>2</v>
      </c>
      <c r="T202">
        <v>0</v>
      </c>
      <c r="U202">
        <v>9</v>
      </c>
      <c r="V202">
        <v>0</v>
      </c>
      <c r="W202">
        <v>2</v>
      </c>
      <c r="X202">
        <v>0</v>
      </c>
      <c r="Y202">
        <v>2</v>
      </c>
      <c r="Z202" t="str" cm="1">
        <f t="array" ref="Z202">_xlfn.IFS(MAX(V202:Y202)=V202,"Vitamin A",MAX(V202:Y202)=W202,"Vitamin C",MAX(V202:Y202)=X202,"Calcium",MAX(V202:Y202)=Y202,"Iron")</f>
        <v>Vitamin C</v>
      </c>
    </row>
    <row r="203" spans="1:26" x14ac:dyDescent="0.3">
      <c r="A203" t="s">
        <v>232</v>
      </c>
      <c r="B203" t="s">
        <v>246</v>
      </c>
      <c r="C203" t="s">
        <v>236</v>
      </c>
      <c r="D203">
        <v>190</v>
      </c>
      <c r="E203">
        <v>0</v>
      </c>
      <c r="F203" s="2">
        <f t="shared" si="3"/>
        <v>0</v>
      </c>
      <c r="G203">
        <v>0</v>
      </c>
      <c r="H203">
        <v>0</v>
      </c>
      <c r="I203">
        <v>0</v>
      </c>
      <c r="J203">
        <v>0</v>
      </c>
      <c r="K203">
        <v>0</v>
      </c>
      <c r="L203">
        <v>0</v>
      </c>
      <c r="M203">
        <v>0</v>
      </c>
      <c r="N203">
        <v>65</v>
      </c>
      <c r="O203">
        <v>3</v>
      </c>
      <c r="P203">
        <v>53</v>
      </c>
      <c r="Q203">
        <v>18</v>
      </c>
      <c r="R203">
        <v>0</v>
      </c>
      <c r="S203">
        <v>0</v>
      </c>
      <c r="T203">
        <v>51</v>
      </c>
      <c r="U203">
        <v>0</v>
      </c>
      <c r="V203">
        <v>0</v>
      </c>
      <c r="W203">
        <v>0</v>
      </c>
      <c r="X203">
        <v>0</v>
      </c>
      <c r="Y203">
        <v>0</v>
      </c>
      <c r="Z203" t="str" cm="1">
        <f t="array" ref="Z203">_xlfn.IFS(MAX(V203:Y203)=V203,"Vitamin A",MAX(V203:Y203)=W203,"Vitamin C",MAX(V203:Y203)=X203,"Calcium",MAX(V203:Y203)=Y203,"Iron")</f>
        <v>Vitamin A</v>
      </c>
    </row>
    <row r="204" spans="1:26" x14ac:dyDescent="0.3">
      <c r="A204" t="s">
        <v>232</v>
      </c>
      <c r="B204" t="s">
        <v>263</v>
      </c>
      <c r="C204" t="s">
        <v>234</v>
      </c>
      <c r="D204">
        <v>190</v>
      </c>
      <c r="E204">
        <v>0</v>
      </c>
      <c r="F204" s="2">
        <f t="shared" si="3"/>
        <v>0</v>
      </c>
      <c r="G204">
        <v>0</v>
      </c>
      <c r="H204">
        <v>0</v>
      </c>
      <c r="I204">
        <v>0</v>
      </c>
      <c r="J204">
        <v>0</v>
      </c>
      <c r="K204">
        <v>0</v>
      </c>
      <c r="L204">
        <v>0</v>
      </c>
      <c r="M204">
        <v>0</v>
      </c>
      <c r="N204">
        <v>0</v>
      </c>
      <c r="O204">
        <v>0</v>
      </c>
      <c r="P204">
        <v>44</v>
      </c>
      <c r="Q204">
        <v>15</v>
      </c>
      <c r="R204">
        <v>0</v>
      </c>
      <c r="S204">
        <v>0</v>
      </c>
      <c r="T204">
        <v>39</v>
      </c>
      <c r="U204">
        <v>3</v>
      </c>
      <c r="V204">
        <v>0</v>
      </c>
      <c r="W204">
        <v>160</v>
      </c>
      <c r="X204">
        <v>4</v>
      </c>
      <c r="Y204">
        <v>0</v>
      </c>
      <c r="Z204" t="str" cm="1">
        <f t="array" ref="Z204">_xlfn.IFS(MAX(V204:Y204)=V204,"Vitamin A",MAX(V204:Y204)=W204,"Vitamin C",MAX(V204:Y204)=X204,"Calcium",MAX(V204:Y204)=Y204,"Iron")</f>
        <v>Vitamin C</v>
      </c>
    </row>
    <row r="205" spans="1:26" x14ac:dyDescent="0.3">
      <c r="A205" t="s">
        <v>416</v>
      </c>
      <c r="B205" t="s">
        <v>305</v>
      </c>
      <c r="C205" t="s">
        <v>240</v>
      </c>
      <c r="D205">
        <v>190</v>
      </c>
      <c r="E205">
        <v>0</v>
      </c>
      <c r="F205" s="2">
        <f t="shared" si="3"/>
        <v>0</v>
      </c>
      <c r="G205">
        <v>0</v>
      </c>
      <c r="H205">
        <v>0</v>
      </c>
      <c r="I205">
        <v>0</v>
      </c>
      <c r="J205">
        <v>0</v>
      </c>
      <c r="K205">
        <v>0</v>
      </c>
      <c r="L205">
        <v>5</v>
      </c>
      <c r="M205">
        <v>2</v>
      </c>
      <c r="N205">
        <v>115</v>
      </c>
      <c r="O205">
        <v>5</v>
      </c>
      <c r="P205">
        <v>39</v>
      </c>
      <c r="Q205">
        <v>13</v>
      </c>
      <c r="R205">
        <v>1</v>
      </c>
      <c r="S205">
        <v>3</v>
      </c>
      <c r="T205">
        <v>37</v>
      </c>
      <c r="U205">
        <v>10</v>
      </c>
      <c r="V205">
        <v>10</v>
      </c>
      <c r="W205">
        <v>0</v>
      </c>
      <c r="X205">
        <v>30</v>
      </c>
      <c r="Y205">
        <v>0</v>
      </c>
      <c r="Z205" t="str" cm="1">
        <f t="array" ref="Z205">_xlfn.IFS(MAX(V205:Y205)=V205,"Vitamin A",MAX(V205:Y205)=W205,"Vitamin C",MAX(V205:Y205)=X205,"Calcium",MAX(V205:Y205)=Y205,"Iron")</f>
        <v>Calcium</v>
      </c>
    </row>
    <row r="206" spans="1:26" x14ac:dyDescent="0.3">
      <c r="A206" t="s">
        <v>416</v>
      </c>
      <c r="B206" t="s">
        <v>330</v>
      </c>
      <c r="C206" t="s">
        <v>265</v>
      </c>
      <c r="D206">
        <v>190</v>
      </c>
      <c r="E206">
        <v>60</v>
      </c>
      <c r="F206" s="2">
        <f t="shared" si="3"/>
        <v>0.31578947368421051</v>
      </c>
      <c r="G206">
        <v>7</v>
      </c>
      <c r="H206">
        <v>11</v>
      </c>
      <c r="I206">
        <v>4.5</v>
      </c>
      <c r="J206">
        <v>22</v>
      </c>
      <c r="K206">
        <v>0</v>
      </c>
      <c r="L206">
        <v>25</v>
      </c>
      <c r="M206">
        <v>9</v>
      </c>
      <c r="N206">
        <v>50</v>
      </c>
      <c r="O206">
        <v>2</v>
      </c>
      <c r="P206">
        <v>31</v>
      </c>
      <c r="Q206">
        <v>10</v>
      </c>
      <c r="R206">
        <v>0</v>
      </c>
      <c r="S206">
        <v>0</v>
      </c>
      <c r="T206">
        <v>30</v>
      </c>
      <c r="U206">
        <v>1</v>
      </c>
      <c r="V206">
        <v>4</v>
      </c>
      <c r="W206">
        <v>0</v>
      </c>
      <c r="X206">
        <v>4</v>
      </c>
      <c r="Y206">
        <v>0</v>
      </c>
      <c r="Z206" t="str" cm="1">
        <f t="array" ref="Z206">_xlfn.IFS(MAX(V206:Y206)=V206,"Vitamin A",MAX(V206:Y206)=W206,"Vitamin C",MAX(V206:Y206)=X206,"Calcium",MAX(V206:Y206)=Y206,"Iron")</f>
        <v>Vitamin A</v>
      </c>
    </row>
    <row r="207" spans="1:26" x14ac:dyDescent="0.3">
      <c r="A207" t="s">
        <v>416</v>
      </c>
      <c r="B207" t="s">
        <v>274</v>
      </c>
      <c r="C207" t="s">
        <v>236</v>
      </c>
      <c r="D207">
        <v>180</v>
      </c>
      <c r="E207">
        <v>0</v>
      </c>
      <c r="F207" s="2">
        <f t="shared" si="3"/>
        <v>0</v>
      </c>
      <c r="G207">
        <v>0</v>
      </c>
      <c r="H207">
        <v>0</v>
      </c>
      <c r="I207">
        <v>0</v>
      </c>
      <c r="J207">
        <v>0</v>
      </c>
      <c r="K207">
        <v>0</v>
      </c>
      <c r="L207">
        <v>0</v>
      </c>
      <c r="M207">
        <v>0</v>
      </c>
      <c r="N207">
        <v>10</v>
      </c>
      <c r="O207">
        <v>0</v>
      </c>
      <c r="P207">
        <v>45</v>
      </c>
      <c r="Q207">
        <v>15</v>
      </c>
      <c r="R207">
        <v>0</v>
      </c>
      <c r="S207">
        <v>0</v>
      </c>
      <c r="T207">
        <v>45</v>
      </c>
      <c r="U207">
        <v>1</v>
      </c>
      <c r="V207">
        <v>0</v>
      </c>
      <c r="W207">
        <v>0</v>
      </c>
      <c r="X207">
        <v>0</v>
      </c>
      <c r="Y207">
        <v>0</v>
      </c>
      <c r="Z207" t="str" cm="1">
        <f t="array" ref="Z207">_xlfn.IFS(MAX(V207:Y207)=V207,"Vitamin A",MAX(V207:Y207)=W207,"Vitamin C",MAX(V207:Y207)=X207,"Calcium",MAX(V207:Y207)=Y207,"Iron")</f>
        <v>Vitamin A</v>
      </c>
    </row>
    <row r="208" spans="1:26" x14ac:dyDescent="0.3">
      <c r="A208" t="s">
        <v>416</v>
      </c>
      <c r="B208" t="s">
        <v>334</v>
      </c>
      <c r="C208" t="s">
        <v>265</v>
      </c>
      <c r="D208">
        <v>180</v>
      </c>
      <c r="E208">
        <v>60</v>
      </c>
      <c r="F208" s="2">
        <f t="shared" si="3"/>
        <v>0.33333333333333331</v>
      </c>
      <c r="G208">
        <v>7</v>
      </c>
      <c r="H208">
        <v>11</v>
      </c>
      <c r="I208">
        <v>4.5</v>
      </c>
      <c r="J208">
        <v>22</v>
      </c>
      <c r="K208">
        <v>0</v>
      </c>
      <c r="L208">
        <v>25</v>
      </c>
      <c r="M208">
        <v>9</v>
      </c>
      <c r="N208">
        <v>50</v>
      </c>
      <c r="O208">
        <v>2</v>
      </c>
      <c r="P208">
        <v>29</v>
      </c>
      <c r="Q208">
        <v>10</v>
      </c>
      <c r="R208">
        <v>0</v>
      </c>
      <c r="S208">
        <v>0</v>
      </c>
      <c r="T208">
        <v>28</v>
      </c>
      <c r="U208">
        <v>1</v>
      </c>
      <c r="V208">
        <v>4</v>
      </c>
      <c r="W208">
        <v>0</v>
      </c>
      <c r="X208">
        <v>4</v>
      </c>
      <c r="Y208">
        <v>0</v>
      </c>
      <c r="Z208" t="str" cm="1">
        <f t="array" ref="Z208">_xlfn.IFS(MAX(V208:Y208)=V208,"Vitamin A",MAX(V208:Y208)=W208,"Vitamin C",MAX(V208:Y208)=X208,"Calcium",MAX(V208:Y208)=Y208,"Iron")</f>
        <v>Vitamin A</v>
      </c>
    </row>
    <row r="209" spans="1:26" x14ac:dyDescent="0.3">
      <c r="A209" t="s">
        <v>416</v>
      </c>
      <c r="B209" t="s">
        <v>337</v>
      </c>
      <c r="C209" t="s">
        <v>265</v>
      </c>
      <c r="D209">
        <v>180</v>
      </c>
      <c r="E209">
        <v>60</v>
      </c>
      <c r="F209" s="2">
        <f t="shared" si="3"/>
        <v>0.33333333333333331</v>
      </c>
      <c r="G209">
        <v>7</v>
      </c>
      <c r="H209">
        <v>11</v>
      </c>
      <c r="I209">
        <v>4.5</v>
      </c>
      <c r="J209">
        <v>22</v>
      </c>
      <c r="K209">
        <v>0</v>
      </c>
      <c r="L209">
        <v>25</v>
      </c>
      <c r="M209">
        <v>9</v>
      </c>
      <c r="N209">
        <v>50</v>
      </c>
      <c r="O209">
        <v>2</v>
      </c>
      <c r="P209">
        <v>29</v>
      </c>
      <c r="Q209">
        <v>10</v>
      </c>
      <c r="R209">
        <v>0</v>
      </c>
      <c r="S209">
        <v>0</v>
      </c>
      <c r="T209">
        <v>28</v>
      </c>
      <c r="U209">
        <v>1</v>
      </c>
      <c r="V209">
        <v>4</v>
      </c>
      <c r="W209">
        <v>0</v>
      </c>
      <c r="X209">
        <v>4</v>
      </c>
      <c r="Y209">
        <v>0</v>
      </c>
      <c r="Z209" t="str" cm="1">
        <f t="array" ref="Z209">_xlfn.IFS(MAX(V209:Y209)=V209,"Vitamin A",MAX(V209:Y209)=W209,"Vitamin C",MAX(V209:Y209)=X209,"Calcium",MAX(V209:Y209)=Y209,"Iron")</f>
        <v>Vitamin A</v>
      </c>
    </row>
    <row r="210" spans="1:26" x14ac:dyDescent="0.3">
      <c r="A210" t="s">
        <v>416</v>
      </c>
      <c r="B210" t="s">
        <v>280</v>
      </c>
      <c r="C210" t="s">
        <v>240</v>
      </c>
      <c r="D210">
        <v>170</v>
      </c>
      <c r="E210">
        <v>80</v>
      </c>
      <c r="F210" s="2">
        <f t="shared" si="3"/>
        <v>0.47058823529411764</v>
      </c>
      <c r="G210">
        <v>9</v>
      </c>
      <c r="H210">
        <v>13</v>
      </c>
      <c r="I210">
        <v>5</v>
      </c>
      <c r="J210">
        <v>24</v>
      </c>
      <c r="K210">
        <v>0</v>
      </c>
      <c r="L210">
        <v>25</v>
      </c>
      <c r="M210">
        <v>9</v>
      </c>
      <c r="N210">
        <v>115</v>
      </c>
      <c r="O210">
        <v>5</v>
      </c>
      <c r="P210">
        <v>15</v>
      </c>
      <c r="Q210">
        <v>5</v>
      </c>
      <c r="R210">
        <v>1</v>
      </c>
      <c r="S210">
        <v>3</v>
      </c>
      <c r="T210">
        <v>12</v>
      </c>
      <c r="U210">
        <v>9</v>
      </c>
      <c r="V210">
        <v>8</v>
      </c>
      <c r="W210">
        <v>0</v>
      </c>
      <c r="X210">
        <v>30</v>
      </c>
      <c r="Y210">
        <v>0</v>
      </c>
      <c r="Z210" t="str" cm="1">
        <f t="array" ref="Z210">_xlfn.IFS(MAX(V210:Y210)=V210,"Vitamin A",MAX(V210:Y210)=W210,"Vitamin C",MAX(V210:Y210)=X210,"Calcium",MAX(V210:Y210)=Y210,"Iron")</f>
        <v>Calcium</v>
      </c>
    </row>
    <row r="211" spans="1:26" x14ac:dyDescent="0.3">
      <c r="A211" t="s">
        <v>416</v>
      </c>
      <c r="B211" t="s">
        <v>298</v>
      </c>
      <c r="C211" t="s">
        <v>283</v>
      </c>
      <c r="D211">
        <v>170</v>
      </c>
      <c r="E211">
        <v>0</v>
      </c>
      <c r="F211" s="2">
        <f t="shared" si="3"/>
        <v>0</v>
      </c>
      <c r="G211">
        <v>0.5</v>
      </c>
      <c r="H211">
        <v>1</v>
      </c>
      <c r="I211">
        <v>0</v>
      </c>
      <c r="J211">
        <v>0</v>
      </c>
      <c r="K211">
        <v>0</v>
      </c>
      <c r="L211">
        <v>10</v>
      </c>
      <c r="M211">
        <v>3</v>
      </c>
      <c r="N211">
        <v>180</v>
      </c>
      <c r="O211">
        <v>7</v>
      </c>
      <c r="P211">
        <v>25</v>
      </c>
      <c r="Q211">
        <v>8</v>
      </c>
      <c r="R211">
        <v>1</v>
      </c>
      <c r="S211">
        <v>6</v>
      </c>
      <c r="T211">
        <v>21</v>
      </c>
      <c r="U211">
        <v>16</v>
      </c>
      <c r="V211">
        <v>15</v>
      </c>
      <c r="W211">
        <v>0</v>
      </c>
      <c r="X211">
        <v>50</v>
      </c>
      <c r="Y211">
        <v>2</v>
      </c>
      <c r="Z211" t="str" cm="1">
        <f t="array" ref="Z211">_xlfn.IFS(MAX(V211:Y211)=V211,"Vitamin A",MAX(V211:Y211)=W211,"Vitamin C",MAX(V211:Y211)=X211,"Calcium",MAX(V211:Y211)=Y211,"Iron")</f>
        <v>Calcium</v>
      </c>
    </row>
    <row r="212" spans="1:26" x14ac:dyDescent="0.3">
      <c r="A212" t="s">
        <v>416</v>
      </c>
      <c r="B212" t="s">
        <v>309</v>
      </c>
      <c r="C212" t="s">
        <v>234</v>
      </c>
      <c r="D212">
        <v>170</v>
      </c>
      <c r="E212">
        <v>0</v>
      </c>
      <c r="F212" s="2">
        <f t="shared" si="3"/>
        <v>0</v>
      </c>
      <c r="G212">
        <v>0</v>
      </c>
      <c r="H212">
        <v>0</v>
      </c>
      <c r="I212">
        <v>0</v>
      </c>
      <c r="J212">
        <v>0</v>
      </c>
      <c r="K212">
        <v>0</v>
      </c>
      <c r="L212">
        <v>5</v>
      </c>
      <c r="M212">
        <v>2</v>
      </c>
      <c r="N212">
        <v>180</v>
      </c>
      <c r="O212">
        <v>8</v>
      </c>
      <c r="P212">
        <v>30</v>
      </c>
      <c r="Q212">
        <v>10</v>
      </c>
      <c r="R212">
        <v>1</v>
      </c>
      <c r="S212">
        <v>5</v>
      </c>
      <c r="T212">
        <v>16</v>
      </c>
      <c r="U212">
        <v>12</v>
      </c>
      <c r="V212">
        <v>15</v>
      </c>
      <c r="W212">
        <v>0</v>
      </c>
      <c r="X212">
        <v>40</v>
      </c>
      <c r="Y212">
        <v>0</v>
      </c>
      <c r="Z212" t="str" cm="1">
        <f t="array" ref="Z212">_xlfn.IFS(MAX(V212:Y212)=V212,"Vitamin A",MAX(V212:Y212)=W212,"Vitamin C",MAX(V212:Y212)=X212,"Calcium",MAX(V212:Y212)=Y212,"Iron")</f>
        <v>Calcium</v>
      </c>
    </row>
    <row r="213" spans="1:26" x14ac:dyDescent="0.3">
      <c r="A213" t="s">
        <v>416</v>
      </c>
      <c r="B213" t="s">
        <v>340</v>
      </c>
      <c r="C213" t="s">
        <v>265</v>
      </c>
      <c r="D213">
        <v>170</v>
      </c>
      <c r="E213">
        <v>60</v>
      </c>
      <c r="F213" s="2">
        <f t="shared" si="3"/>
        <v>0.35294117647058826</v>
      </c>
      <c r="G213">
        <v>7</v>
      </c>
      <c r="H213">
        <v>11</v>
      </c>
      <c r="I213">
        <v>4.5</v>
      </c>
      <c r="J213">
        <v>22</v>
      </c>
      <c r="K213">
        <v>0</v>
      </c>
      <c r="L213">
        <v>25</v>
      </c>
      <c r="M213">
        <v>9</v>
      </c>
      <c r="N213">
        <v>55</v>
      </c>
      <c r="O213">
        <v>2</v>
      </c>
      <c r="P213">
        <v>27</v>
      </c>
      <c r="Q213">
        <v>9</v>
      </c>
      <c r="R213">
        <v>0</v>
      </c>
      <c r="S213">
        <v>0</v>
      </c>
      <c r="T213">
        <v>26</v>
      </c>
      <c r="U213">
        <v>1</v>
      </c>
      <c r="V213">
        <v>4</v>
      </c>
      <c r="W213">
        <v>0</v>
      </c>
      <c r="X213">
        <v>4</v>
      </c>
      <c r="Y213">
        <v>0</v>
      </c>
      <c r="Z213" t="str" cm="1">
        <f t="array" ref="Z213">_xlfn.IFS(MAX(V213:Y213)=V213,"Vitamin A",MAX(V213:Y213)=W213,"Vitamin C",MAX(V213:Y213)=X213,"Calcium",MAX(V213:Y213)=Y213,"Iron")</f>
        <v>Vitamin A</v>
      </c>
    </row>
    <row r="214" spans="1:26" x14ac:dyDescent="0.3">
      <c r="A214" t="s">
        <v>219</v>
      </c>
      <c r="B214" t="s">
        <v>222</v>
      </c>
      <c r="C214" t="s">
        <v>223</v>
      </c>
      <c r="D214">
        <v>160</v>
      </c>
      <c r="E214">
        <v>70</v>
      </c>
      <c r="F214" s="2">
        <f t="shared" si="3"/>
        <v>0.4375</v>
      </c>
      <c r="G214">
        <v>8</v>
      </c>
      <c r="H214">
        <v>12</v>
      </c>
      <c r="I214">
        <v>3.5</v>
      </c>
      <c r="J214">
        <v>19</v>
      </c>
      <c r="K214">
        <v>0</v>
      </c>
      <c r="L214">
        <v>10</v>
      </c>
      <c r="M214">
        <v>3</v>
      </c>
      <c r="N214">
        <v>90</v>
      </c>
      <c r="O214">
        <v>4</v>
      </c>
      <c r="P214">
        <v>21</v>
      </c>
      <c r="Q214">
        <v>7</v>
      </c>
      <c r="R214">
        <v>1</v>
      </c>
      <c r="S214">
        <v>3</v>
      </c>
      <c r="T214">
        <v>15</v>
      </c>
      <c r="U214">
        <v>2</v>
      </c>
      <c r="V214">
        <v>2</v>
      </c>
      <c r="W214">
        <v>0</v>
      </c>
      <c r="X214">
        <v>2</v>
      </c>
      <c r="Y214">
        <v>8</v>
      </c>
      <c r="Z214" t="str" cm="1">
        <f t="array" ref="Z214">_xlfn.IFS(MAX(V214:Y214)=V214,"Vitamin A",MAX(V214:Y214)=W214,"Vitamin C",MAX(V214:Y214)=X214,"Calcium",MAX(V214:Y214)=Y214,"Iron")</f>
        <v>Iron</v>
      </c>
    </row>
    <row r="215" spans="1:26" x14ac:dyDescent="0.3">
      <c r="A215" t="s">
        <v>416</v>
      </c>
      <c r="B215" t="s">
        <v>344</v>
      </c>
      <c r="C215" t="s">
        <v>332</v>
      </c>
      <c r="D215">
        <v>160</v>
      </c>
      <c r="E215">
        <v>80</v>
      </c>
      <c r="F215" s="2">
        <f t="shared" si="3"/>
        <v>0.5</v>
      </c>
      <c r="G215">
        <v>9</v>
      </c>
      <c r="H215">
        <v>14</v>
      </c>
      <c r="I215">
        <v>6</v>
      </c>
      <c r="J215">
        <v>29</v>
      </c>
      <c r="K215">
        <v>0</v>
      </c>
      <c r="L215">
        <v>35</v>
      </c>
      <c r="M215">
        <v>12</v>
      </c>
      <c r="N215">
        <v>135</v>
      </c>
      <c r="O215">
        <v>6</v>
      </c>
      <c r="P215">
        <v>18</v>
      </c>
      <c r="Q215">
        <v>6</v>
      </c>
      <c r="R215">
        <v>0</v>
      </c>
      <c r="S215">
        <v>0</v>
      </c>
      <c r="T215">
        <v>2</v>
      </c>
      <c r="U215">
        <v>2</v>
      </c>
      <c r="V215">
        <v>6</v>
      </c>
      <c r="W215">
        <v>0</v>
      </c>
      <c r="X215">
        <v>8</v>
      </c>
      <c r="Y215">
        <v>0</v>
      </c>
      <c r="Z215" t="str" cm="1">
        <f t="array" ref="Z215">_xlfn.IFS(MAX(V215:Y215)=V215,"Vitamin A",MAX(V215:Y215)=W215,"Vitamin C",MAX(V215:Y215)=X215,"Calcium",MAX(V215:Y215)=Y215,"Iron")</f>
        <v>Calcium</v>
      </c>
    </row>
    <row r="216" spans="1:26" x14ac:dyDescent="0.3">
      <c r="A216" t="s">
        <v>24</v>
      </c>
      <c r="B216" t="s">
        <v>96</v>
      </c>
      <c r="C216" t="s">
        <v>97</v>
      </c>
      <c r="D216">
        <v>150</v>
      </c>
      <c r="E216">
        <v>80</v>
      </c>
      <c r="F216" s="2">
        <f t="shared" si="3"/>
        <v>0.53333333333333333</v>
      </c>
      <c r="G216">
        <v>9</v>
      </c>
      <c r="H216">
        <v>14</v>
      </c>
      <c r="I216">
        <v>1.5</v>
      </c>
      <c r="J216">
        <v>6</v>
      </c>
      <c r="K216">
        <v>0</v>
      </c>
      <c r="L216">
        <v>0</v>
      </c>
      <c r="M216">
        <v>0</v>
      </c>
      <c r="N216">
        <v>310</v>
      </c>
      <c r="O216">
        <v>13</v>
      </c>
      <c r="P216">
        <v>15</v>
      </c>
      <c r="Q216">
        <v>5</v>
      </c>
      <c r="R216">
        <v>2</v>
      </c>
      <c r="S216">
        <v>6</v>
      </c>
      <c r="T216">
        <v>0</v>
      </c>
      <c r="U216">
        <v>1</v>
      </c>
      <c r="V216">
        <v>0</v>
      </c>
      <c r="W216">
        <v>2</v>
      </c>
      <c r="X216">
        <v>0</v>
      </c>
      <c r="Y216">
        <v>2</v>
      </c>
      <c r="Z216" t="str" cm="1">
        <f t="array" ref="Z216">_xlfn.IFS(MAX(V216:Y216)=V216,"Vitamin A",MAX(V216:Y216)=W216,"Vitamin C",MAX(V216:Y216)=X216,"Calcium",MAX(V216:Y216)=Y216,"Iron")</f>
        <v>Vitamin C</v>
      </c>
    </row>
    <row r="217" spans="1:26" x14ac:dyDescent="0.3">
      <c r="A217" t="s">
        <v>417</v>
      </c>
      <c r="B217" t="s">
        <v>217</v>
      </c>
      <c r="C217" t="s">
        <v>218</v>
      </c>
      <c r="D217">
        <v>150</v>
      </c>
      <c r="E217">
        <v>20</v>
      </c>
      <c r="F217" s="2">
        <f t="shared" si="3"/>
        <v>0.13333333333333333</v>
      </c>
      <c r="G217">
        <v>2</v>
      </c>
      <c r="H217">
        <v>3</v>
      </c>
      <c r="I217">
        <v>1</v>
      </c>
      <c r="J217">
        <v>5</v>
      </c>
      <c r="K217">
        <v>0</v>
      </c>
      <c r="L217">
        <v>5</v>
      </c>
      <c r="M217">
        <v>2</v>
      </c>
      <c r="N217">
        <v>70</v>
      </c>
      <c r="O217">
        <v>3</v>
      </c>
      <c r="P217">
        <v>30</v>
      </c>
      <c r="Q217">
        <v>10</v>
      </c>
      <c r="R217">
        <v>1</v>
      </c>
      <c r="S217">
        <v>3</v>
      </c>
      <c r="T217">
        <v>23</v>
      </c>
      <c r="U217">
        <v>4</v>
      </c>
      <c r="V217">
        <v>2</v>
      </c>
      <c r="W217">
        <v>15</v>
      </c>
      <c r="X217">
        <v>10</v>
      </c>
      <c r="Y217">
        <v>4</v>
      </c>
      <c r="Z217" t="str" cm="1">
        <f t="array" ref="Z217">_xlfn.IFS(MAX(V217:Y217)=V217,"Vitamin A",MAX(V217:Y217)=W217,"Vitamin C",MAX(V217:Y217)=X217,"Calcium",MAX(V217:Y217)=Y217,"Iron")</f>
        <v>Vitamin C</v>
      </c>
    </row>
    <row r="218" spans="1:26" x14ac:dyDescent="0.3">
      <c r="A218" t="s">
        <v>219</v>
      </c>
      <c r="B218" t="s">
        <v>224</v>
      </c>
      <c r="C218" t="s">
        <v>223</v>
      </c>
      <c r="D218">
        <v>150</v>
      </c>
      <c r="E218">
        <v>50</v>
      </c>
      <c r="F218" s="2">
        <f t="shared" si="3"/>
        <v>0.33333333333333331</v>
      </c>
      <c r="G218">
        <v>6</v>
      </c>
      <c r="H218">
        <v>9</v>
      </c>
      <c r="I218">
        <v>2.5</v>
      </c>
      <c r="J218">
        <v>13</v>
      </c>
      <c r="K218">
        <v>0</v>
      </c>
      <c r="L218">
        <v>10</v>
      </c>
      <c r="M218">
        <v>3</v>
      </c>
      <c r="N218">
        <v>135</v>
      </c>
      <c r="O218">
        <v>6</v>
      </c>
      <c r="P218">
        <v>22</v>
      </c>
      <c r="Q218">
        <v>7</v>
      </c>
      <c r="R218">
        <v>1</v>
      </c>
      <c r="S218">
        <v>3</v>
      </c>
      <c r="T218">
        <v>13</v>
      </c>
      <c r="U218">
        <v>2</v>
      </c>
      <c r="V218">
        <v>2</v>
      </c>
      <c r="W218">
        <v>0</v>
      </c>
      <c r="X218">
        <v>2</v>
      </c>
      <c r="Y218">
        <v>6</v>
      </c>
      <c r="Z218" t="str" cm="1">
        <f t="array" ref="Z218">_xlfn.IFS(MAX(V218:Y218)=V218,"Vitamin A",MAX(V218:Y218)=W218,"Vitamin C",MAX(V218:Y218)=X218,"Calcium",MAX(V218:Y218)=Y218,"Iron")</f>
        <v>Iron</v>
      </c>
    </row>
    <row r="219" spans="1:26" x14ac:dyDescent="0.3">
      <c r="A219" t="s">
        <v>232</v>
      </c>
      <c r="B219" t="s">
        <v>262</v>
      </c>
      <c r="C219" t="s">
        <v>240</v>
      </c>
      <c r="D219">
        <v>150</v>
      </c>
      <c r="E219">
        <v>0</v>
      </c>
      <c r="F219" s="2">
        <f t="shared" si="3"/>
        <v>0</v>
      </c>
      <c r="G219">
        <v>0</v>
      </c>
      <c r="H219">
        <v>0</v>
      </c>
      <c r="I219">
        <v>0</v>
      </c>
      <c r="J219">
        <v>0</v>
      </c>
      <c r="K219">
        <v>0</v>
      </c>
      <c r="L219">
        <v>0</v>
      </c>
      <c r="M219">
        <v>0</v>
      </c>
      <c r="N219">
        <v>0</v>
      </c>
      <c r="O219">
        <v>0</v>
      </c>
      <c r="P219">
        <v>34</v>
      </c>
      <c r="Q219">
        <v>11</v>
      </c>
      <c r="R219">
        <v>0</v>
      </c>
      <c r="S219">
        <v>0</v>
      </c>
      <c r="T219">
        <v>30</v>
      </c>
      <c r="U219">
        <v>2</v>
      </c>
      <c r="V219">
        <v>0</v>
      </c>
      <c r="W219">
        <v>130</v>
      </c>
      <c r="X219">
        <v>2</v>
      </c>
      <c r="Y219">
        <v>0</v>
      </c>
      <c r="Z219" t="str" cm="1">
        <f t="array" ref="Z219">_xlfn.IFS(MAX(V219:Y219)=V219,"Vitamin A",MAX(V219:Y219)=W219,"Vitamin C",MAX(V219:Y219)=X219,"Calcium",MAX(V219:Y219)=Y219,"Iron")</f>
        <v>Vitamin C</v>
      </c>
    </row>
    <row r="220" spans="1:26" x14ac:dyDescent="0.3">
      <c r="A220" t="s">
        <v>416</v>
      </c>
      <c r="B220" t="s">
        <v>273</v>
      </c>
      <c r="C220" t="s">
        <v>234</v>
      </c>
      <c r="D220">
        <v>150</v>
      </c>
      <c r="E220">
        <v>0</v>
      </c>
      <c r="F220" s="2">
        <f t="shared" si="3"/>
        <v>0</v>
      </c>
      <c r="G220">
        <v>0</v>
      </c>
      <c r="H220">
        <v>0</v>
      </c>
      <c r="I220">
        <v>0</v>
      </c>
      <c r="J220">
        <v>0</v>
      </c>
      <c r="K220">
        <v>0</v>
      </c>
      <c r="L220">
        <v>0</v>
      </c>
      <c r="M220">
        <v>0</v>
      </c>
      <c r="N220">
        <v>10</v>
      </c>
      <c r="O220">
        <v>0</v>
      </c>
      <c r="P220">
        <v>36</v>
      </c>
      <c r="Q220">
        <v>12</v>
      </c>
      <c r="R220">
        <v>0</v>
      </c>
      <c r="S220">
        <v>0</v>
      </c>
      <c r="T220">
        <v>36</v>
      </c>
      <c r="U220">
        <v>1</v>
      </c>
      <c r="V220">
        <v>0</v>
      </c>
      <c r="W220">
        <v>0</v>
      </c>
      <c r="X220">
        <v>0</v>
      </c>
      <c r="Y220">
        <v>0</v>
      </c>
      <c r="Z220" t="str" cm="1">
        <f t="array" ref="Z220">_xlfn.IFS(MAX(V220:Y220)=V220,"Vitamin A",MAX(V220:Y220)=W220,"Vitamin C",MAX(V220:Y220)=X220,"Calcium",MAX(V220:Y220)=Y220,"Iron")</f>
        <v>Vitamin A</v>
      </c>
    </row>
    <row r="221" spans="1:26" x14ac:dyDescent="0.3">
      <c r="A221" t="s">
        <v>183</v>
      </c>
      <c r="B221" t="s">
        <v>184</v>
      </c>
      <c r="C221" t="s">
        <v>185</v>
      </c>
      <c r="D221">
        <v>140</v>
      </c>
      <c r="E221">
        <v>70</v>
      </c>
      <c r="F221" s="2">
        <f t="shared" si="3"/>
        <v>0.5</v>
      </c>
      <c r="G221">
        <v>7</v>
      </c>
      <c r="H221">
        <v>11</v>
      </c>
      <c r="I221">
        <v>3.5</v>
      </c>
      <c r="J221">
        <v>18</v>
      </c>
      <c r="K221">
        <v>0</v>
      </c>
      <c r="L221">
        <v>25</v>
      </c>
      <c r="M221">
        <v>9</v>
      </c>
      <c r="N221">
        <v>300</v>
      </c>
      <c r="O221">
        <v>13</v>
      </c>
      <c r="P221">
        <v>10</v>
      </c>
      <c r="Q221">
        <v>3</v>
      </c>
      <c r="R221">
        <v>3</v>
      </c>
      <c r="S221">
        <v>12</v>
      </c>
      <c r="T221">
        <v>4</v>
      </c>
      <c r="U221">
        <v>9</v>
      </c>
      <c r="V221">
        <v>170</v>
      </c>
      <c r="W221">
        <v>30</v>
      </c>
      <c r="X221">
        <v>15</v>
      </c>
      <c r="Y221">
        <v>6</v>
      </c>
      <c r="Z221" t="str" cm="1">
        <f t="array" ref="Z221">_xlfn.IFS(MAX(V221:Y221)=V221,"Vitamin A",MAX(V221:Y221)=W221,"Vitamin C",MAX(V221:Y221)=X221,"Calcium",MAX(V221:Y221)=Y221,"Iron")</f>
        <v>Vitamin A</v>
      </c>
    </row>
    <row r="222" spans="1:26" x14ac:dyDescent="0.3">
      <c r="A222" t="s">
        <v>183</v>
      </c>
      <c r="B222" t="s">
        <v>189</v>
      </c>
      <c r="C222" t="s">
        <v>140</v>
      </c>
      <c r="D222">
        <v>140</v>
      </c>
      <c r="E222">
        <v>40</v>
      </c>
      <c r="F222" s="2">
        <f t="shared" si="3"/>
        <v>0.2857142857142857</v>
      </c>
      <c r="G222">
        <v>4.5</v>
      </c>
      <c r="H222">
        <v>7</v>
      </c>
      <c r="I222">
        <v>2</v>
      </c>
      <c r="J222">
        <v>9</v>
      </c>
      <c r="K222">
        <v>0</v>
      </c>
      <c r="L222">
        <v>10</v>
      </c>
      <c r="M222">
        <v>3</v>
      </c>
      <c r="N222">
        <v>150</v>
      </c>
      <c r="O222">
        <v>6</v>
      </c>
      <c r="P222">
        <v>20</v>
      </c>
      <c r="Q222">
        <v>7</v>
      </c>
      <c r="R222">
        <v>6</v>
      </c>
      <c r="S222">
        <v>23</v>
      </c>
      <c r="T222">
        <v>6</v>
      </c>
      <c r="U222">
        <v>6</v>
      </c>
      <c r="V222">
        <v>160</v>
      </c>
      <c r="W222">
        <v>25</v>
      </c>
      <c r="X222">
        <v>15</v>
      </c>
      <c r="Y222">
        <v>10</v>
      </c>
      <c r="Z222" t="str" cm="1">
        <f t="array" ref="Z222">_xlfn.IFS(MAX(V222:Y222)=V222,"Vitamin A",MAX(V222:Y222)=W222,"Vitamin C",MAX(V222:Y222)=X222,"Calcium",MAX(V222:Y222)=Y222,"Iron")</f>
        <v>Vitamin A</v>
      </c>
    </row>
    <row r="223" spans="1:26" x14ac:dyDescent="0.3">
      <c r="A223" t="s">
        <v>232</v>
      </c>
      <c r="B223" t="s">
        <v>233</v>
      </c>
      <c r="C223" t="s">
        <v>234</v>
      </c>
      <c r="D223">
        <v>140</v>
      </c>
      <c r="E223">
        <v>0</v>
      </c>
      <c r="F223" s="2">
        <f t="shared" si="3"/>
        <v>0</v>
      </c>
      <c r="G223">
        <v>0</v>
      </c>
      <c r="H223">
        <v>0</v>
      </c>
      <c r="I223">
        <v>0</v>
      </c>
      <c r="J223">
        <v>0</v>
      </c>
      <c r="K223">
        <v>0</v>
      </c>
      <c r="L223">
        <v>0</v>
      </c>
      <c r="M223">
        <v>0</v>
      </c>
      <c r="N223">
        <v>0</v>
      </c>
      <c r="O223">
        <v>0</v>
      </c>
      <c r="P223">
        <v>39</v>
      </c>
      <c r="Q223">
        <v>13</v>
      </c>
      <c r="R223">
        <v>0</v>
      </c>
      <c r="S223">
        <v>0</v>
      </c>
      <c r="T223">
        <v>39</v>
      </c>
      <c r="U223">
        <v>0</v>
      </c>
      <c r="V223">
        <v>0</v>
      </c>
      <c r="W223">
        <v>0</v>
      </c>
      <c r="X223">
        <v>0</v>
      </c>
      <c r="Y223">
        <v>0</v>
      </c>
      <c r="Z223" t="str" cm="1">
        <f t="array" ref="Z223">_xlfn.IFS(MAX(V223:Y223)=V223,"Vitamin A",MAX(V223:Y223)=W223,"Vitamin C",MAX(V223:Y223)=X223,"Calcium",MAX(V223:Y223)=Y223,"Iron")</f>
        <v>Vitamin A</v>
      </c>
    </row>
    <row r="224" spans="1:26" x14ac:dyDescent="0.3">
      <c r="A224" t="s">
        <v>232</v>
      </c>
      <c r="B224" t="s">
        <v>245</v>
      </c>
      <c r="C224" t="s">
        <v>234</v>
      </c>
      <c r="D224">
        <v>140</v>
      </c>
      <c r="E224">
        <v>0</v>
      </c>
      <c r="F224" s="2">
        <f t="shared" si="3"/>
        <v>0</v>
      </c>
      <c r="G224">
        <v>0</v>
      </c>
      <c r="H224">
        <v>0</v>
      </c>
      <c r="I224">
        <v>0</v>
      </c>
      <c r="J224">
        <v>0</v>
      </c>
      <c r="K224">
        <v>0</v>
      </c>
      <c r="L224">
        <v>0</v>
      </c>
      <c r="M224">
        <v>0</v>
      </c>
      <c r="N224">
        <v>45</v>
      </c>
      <c r="O224">
        <v>2</v>
      </c>
      <c r="P224">
        <v>37</v>
      </c>
      <c r="Q224">
        <v>12</v>
      </c>
      <c r="R224">
        <v>0</v>
      </c>
      <c r="S224">
        <v>0</v>
      </c>
      <c r="T224">
        <v>35</v>
      </c>
      <c r="U224">
        <v>0</v>
      </c>
      <c r="V224">
        <v>0</v>
      </c>
      <c r="W224">
        <v>0</v>
      </c>
      <c r="X224">
        <v>0</v>
      </c>
      <c r="Y224">
        <v>0</v>
      </c>
      <c r="Z224" t="str" cm="1">
        <f t="array" ref="Z224">_xlfn.IFS(MAX(V224:Y224)=V224,"Vitamin A",MAX(V224:Y224)=W224,"Vitamin C",MAX(V224:Y224)=X224,"Calcium",MAX(V224:Y224)=Y224,"Iron")</f>
        <v>Vitamin A</v>
      </c>
    </row>
    <row r="225" spans="1:26" x14ac:dyDescent="0.3">
      <c r="A225" t="s">
        <v>232</v>
      </c>
      <c r="B225" t="s">
        <v>253</v>
      </c>
      <c r="C225" t="s">
        <v>234</v>
      </c>
      <c r="D225">
        <v>140</v>
      </c>
      <c r="E225">
        <v>0</v>
      </c>
      <c r="F225" s="2">
        <f t="shared" si="3"/>
        <v>0</v>
      </c>
      <c r="G225">
        <v>0</v>
      </c>
      <c r="H225">
        <v>0</v>
      </c>
      <c r="I225">
        <v>0</v>
      </c>
      <c r="J225">
        <v>0</v>
      </c>
      <c r="K225">
        <v>0</v>
      </c>
      <c r="L225">
        <v>0</v>
      </c>
      <c r="M225">
        <v>0</v>
      </c>
      <c r="N225">
        <v>30</v>
      </c>
      <c r="O225">
        <v>1</v>
      </c>
      <c r="P225">
        <v>37</v>
      </c>
      <c r="Q225">
        <v>12</v>
      </c>
      <c r="R225">
        <v>0</v>
      </c>
      <c r="S225">
        <v>0</v>
      </c>
      <c r="T225">
        <v>37</v>
      </c>
      <c r="U225">
        <v>0</v>
      </c>
      <c r="V225">
        <v>0</v>
      </c>
      <c r="W225">
        <v>0</v>
      </c>
      <c r="X225">
        <v>0</v>
      </c>
      <c r="Y225">
        <v>0</v>
      </c>
      <c r="Z225" t="str" cm="1">
        <f t="array" ref="Z225">_xlfn.IFS(MAX(V225:Y225)=V225,"Vitamin A",MAX(V225:Y225)=W225,"Vitamin C",MAX(V225:Y225)=X225,"Calcium",MAX(V225:Y225)=Y225,"Iron")</f>
        <v>Vitamin A</v>
      </c>
    </row>
    <row r="226" spans="1:26" x14ac:dyDescent="0.3">
      <c r="A226" t="s">
        <v>416</v>
      </c>
      <c r="B226" t="s">
        <v>308</v>
      </c>
      <c r="C226" t="s">
        <v>240</v>
      </c>
      <c r="D226">
        <v>140</v>
      </c>
      <c r="E226">
        <v>0</v>
      </c>
      <c r="F226" s="2">
        <f t="shared" si="3"/>
        <v>0</v>
      </c>
      <c r="G226">
        <v>0</v>
      </c>
      <c r="H226">
        <v>0</v>
      </c>
      <c r="I226">
        <v>0</v>
      </c>
      <c r="J226">
        <v>0</v>
      </c>
      <c r="K226">
        <v>0</v>
      </c>
      <c r="L226">
        <v>5</v>
      </c>
      <c r="M226">
        <v>2</v>
      </c>
      <c r="N226">
        <v>150</v>
      </c>
      <c r="O226">
        <v>6</v>
      </c>
      <c r="P226">
        <v>24</v>
      </c>
      <c r="Q226">
        <v>8</v>
      </c>
      <c r="R226">
        <v>1</v>
      </c>
      <c r="S226">
        <v>4</v>
      </c>
      <c r="T226">
        <v>13</v>
      </c>
      <c r="U226">
        <v>10</v>
      </c>
      <c r="V226">
        <v>10</v>
      </c>
      <c r="W226">
        <v>0</v>
      </c>
      <c r="X226">
        <v>30</v>
      </c>
      <c r="Y226">
        <v>0</v>
      </c>
      <c r="Z226" t="str" cm="1">
        <f t="array" ref="Z226">_xlfn.IFS(MAX(V226:Y226)=V226,"Vitamin A",MAX(V226:Y226)=W226,"Vitamin C",MAX(V226:Y226)=X226,"Calcium",MAX(V226:Y226)=Y226,"Iron")</f>
        <v>Calcium</v>
      </c>
    </row>
    <row r="227" spans="1:26" x14ac:dyDescent="0.3">
      <c r="A227" t="s">
        <v>416</v>
      </c>
      <c r="B227" t="s">
        <v>329</v>
      </c>
      <c r="C227" t="s">
        <v>234</v>
      </c>
      <c r="D227">
        <v>140</v>
      </c>
      <c r="E227">
        <v>40</v>
      </c>
      <c r="F227" s="2">
        <f t="shared" si="3"/>
        <v>0.2857142857142857</v>
      </c>
      <c r="G227">
        <v>4.5</v>
      </c>
      <c r="H227">
        <v>7</v>
      </c>
      <c r="I227">
        <v>3</v>
      </c>
      <c r="J227">
        <v>15</v>
      </c>
      <c r="K227">
        <v>0</v>
      </c>
      <c r="L227">
        <v>15</v>
      </c>
      <c r="M227">
        <v>6</v>
      </c>
      <c r="N227">
        <v>35</v>
      </c>
      <c r="O227">
        <v>1</v>
      </c>
      <c r="P227">
        <v>23</v>
      </c>
      <c r="Q227">
        <v>8</v>
      </c>
      <c r="R227">
        <v>0</v>
      </c>
      <c r="S227">
        <v>0</v>
      </c>
      <c r="T227">
        <v>22</v>
      </c>
      <c r="U227">
        <v>1</v>
      </c>
      <c r="V227">
        <v>4</v>
      </c>
      <c r="W227">
        <v>0</v>
      </c>
      <c r="X227">
        <v>4</v>
      </c>
      <c r="Y227">
        <v>0</v>
      </c>
      <c r="Z227" t="str" cm="1">
        <f t="array" ref="Z227">_xlfn.IFS(MAX(V227:Y227)=V227,"Vitamin A",MAX(V227:Y227)=W227,"Vitamin C",MAX(V227:Y227)=X227,"Calcium",MAX(V227:Y227)=Y227,"Iron")</f>
        <v>Vitamin A</v>
      </c>
    </row>
    <row r="228" spans="1:26" x14ac:dyDescent="0.3">
      <c r="A228" t="s">
        <v>232</v>
      </c>
      <c r="B228" t="s">
        <v>259</v>
      </c>
      <c r="C228" t="s">
        <v>258</v>
      </c>
      <c r="D228">
        <v>130</v>
      </c>
      <c r="E228">
        <v>0</v>
      </c>
      <c r="F228" s="2">
        <f t="shared" si="3"/>
        <v>0</v>
      </c>
      <c r="G228">
        <v>0</v>
      </c>
      <c r="H228">
        <v>0</v>
      </c>
      <c r="I228">
        <v>0</v>
      </c>
      <c r="J228">
        <v>0</v>
      </c>
      <c r="K228">
        <v>0</v>
      </c>
      <c r="L228">
        <v>5</v>
      </c>
      <c r="M228">
        <v>2</v>
      </c>
      <c r="N228">
        <v>135</v>
      </c>
      <c r="O228">
        <v>6</v>
      </c>
      <c r="P228">
        <v>23</v>
      </c>
      <c r="Q228">
        <v>8</v>
      </c>
      <c r="R228">
        <v>1</v>
      </c>
      <c r="S228">
        <v>2</v>
      </c>
      <c r="T228">
        <v>22</v>
      </c>
      <c r="U228">
        <v>9</v>
      </c>
      <c r="V228">
        <v>10</v>
      </c>
      <c r="W228">
        <v>0</v>
      </c>
      <c r="X228">
        <v>30</v>
      </c>
      <c r="Y228">
        <v>8</v>
      </c>
      <c r="Z228" t="str" cm="1">
        <f t="array" ref="Z228">_xlfn.IFS(MAX(V228:Y228)=V228,"Vitamin A",MAX(V228:Y228)=W228,"Vitamin C",MAX(V228:Y228)=X228,"Calcium",MAX(V228:Y228)=Y228,"Iron")</f>
        <v>Calcium</v>
      </c>
    </row>
    <row r="229" spans="1:26" x14ac:dyDescent="0.3">
      <c r="A229" t="s">
        <v>416</v>
      </c>
      <c r="B229" t="s">
        <v>297</v>
      </c>
      <c r="C229" t="s">
        <v>234</v>
      </c>
      <c r="D229">
        <v>130</v>
      </c>
      <c r="E229">
        <v>0</v>
      </c>
      <c r="F229" s="2">
        <f t="shared" si="3"/>
        <v>0</v>
      </c>
      <c r="G229">
        <v>0</v>
      </c>
      <c r="H229">
        <v>0</v>
      </c>
      <c r="I229">
        <v>0</v>
      </c>
      <c r="J229">
        <v>0</v>
      </c>
      <c r="K229">
        <v>0</v>
      </c>
      <c r="L229">
        <v>5</v>
      </c>
      <c r="M229">
        <v>2</v>
      </c>
      <c r="N229">
        <v>135</v>
      </c>
      <c r="O229">
        <v>6</v>
      </c>
      <c r="P229">
        <v>19</v>
      </c>
      <c r="Q229">
        <v>6</v>
      </c>
      <c r="R229">
        <v>1</v>
      </c>
      <c r="S229">
        <v>4</v>
      </c>
      <c r="T229">
        <v>16</v>
      </c>
      <c r="U229">
        <v>12</v>
      </c>
      <c r="V229">
        <v>15</v>
      </c>
      <c r="W229">
        <v>0</v>
      </c>
      <c r="X229">
        <v>40</v>
      </c>
      <c r="Y229">
        <v>0</v>
      </c>
      <c r="Z229" t="str" cm="1">
        <f t="array" ref="Z229">_xlfn.IFS(MAX(V229:Y229)=V229,"Vitamin A",MAX(V229:Y229)=W229,"Vitamin C",MAX(V229:Y229)=X229,"Calcium",MAX(V229:Y229)=Y229,"Iron")</f>
        <v>Calcium</v>
      </c>
    </row>
    <row r="230" spans="1:26" x14ac:dyDescent="0.3">
      <c r="A230" t="s">
        <v>416</v>
      </c>
      <c r="B230" t="s">
        <v>333</v>
      </c>
      <c r="C230" t="s">
        <v>234</v>
      </c>
      <c r="D230">
        <v>130</v>
      </c>
      <c r="E230">
        <v>40</v>
      </c>
      <c r="F230" s="2">
        <f t="shared" si="3"/>
        <v>0.30769230769230771</v>
      </c>
      <c r="G230">
        <v>4.5</v>
      </c>
      <c r="H230">
        <v>7</v>
      </c>
      <c r="I230">
        <v>3</v>
      </c>
      <c r="J230">
        <v>15</v>
      </c>
      <c r="K230">
        <v>0</v>
      </c>
      <c r="L230">
        <v>15</v>
      </c>
      <c r="M230">
        <v>6</v>
      </c>
      <c r="N230">
        <v>35</v>
      </c>
      <c r="O230">
        <v>2</v>
      </c>
      <c r="P230">
        <v>22</v>
      </c>
      <c r="Q230">
        <v>7</v>
      </c>
      <c r="R230">
        <v>0</v>
      </c>
      <c r="S230">
        <v>0</v>
      </c>
      <c r="T230">
        <v>21</v>
      </c>
      <c r="U230">
        <v>1</v>
      </c>
      <c r="V230">
        <v>4</v>
      </c>
      <c r="W230">
        <v>0</v>
      </c>
      <c r="X230">
        <v>4</v>
      </c>
      <c r="Y230">
        <v>0</v>
      </c>
      <c r="Z230" t="str" cm="1">
        <f t="array" ref="Z230">_xlfn.IFS(MAX(V230:Y230)=V230,"Vitamin A",MAX(V230:Y230)=W230,"Vitamin C",MAX(V230:Y230)=X230,"Calcium",MAX(V230:Y230)=Y230,"Iron")</f>
        <v>Vitamin A</v>
      </c>
    </row>
    <row r="231" spans="1:26" x14ac:dyDescent="0.3">
      <c r="A231" t="s">
        <v>416</v>
      </c>
      <c r="B231" t="s">
        <v>336</v>
      </c>
      <c r="C231" t="s">
        <v>234</v>
      </c>
      <c r="D231">
        <v>130</v>
      </c>
      <c r="E231">
        <v>40</v>
      </c>
      <c r="F231" s="2">
        <f t="shared" si="3"/>
        <v>0.30769230769230771</v>
      </c>
      <c r="G231">
        <v>4.5</v>
      </c>
      <c r="H231">
        <v>7</v>
      </c>
      <c r="I231">
        <v>3</v>
      </c>
      <c r="J231">
        <v>15</v>
      </c>
      <c r="K231">
        <v>0</v>
      </c>
      <c r="L231">
        <v>15</v>
      </c>
      <c r="M231">
        <v>6</v>
      </c>
      <c r="N231">
        <v>35</v>
      </c>
      <c r="O231">
        <v>1</v>
      </c>
      <c r="P231">
        <v>21</v>
      </c>
      <c r="Q231">
        <v>7</v>
      </c>
      <c r="R231">
        <v>0</v>
      </c>
      <c r="S231">
        <v>0</v>
      </c>
      <c r="T231">
        <v>20</v>
      </c>
      <c r="U231">
        <v>1</v>
      </c>
      <c r="V231">
        <v>4</v>
      </c>
      <c r="W231">
        <v>0</v>
      </c>
      <c r="X231">
        <v>4</v>
      </c>
      <c r="Y231">
        <v>0</v>
      </c>
      <c r="Z231" t="str" cm="1">
        <f t="array" ref="Z231">_xlfn.IFS(MAX(V231:Y231)=V231,"Vitamin A",MAX(V231:Y231)=W231,"Vitamin C",MAX(V231:Y231)=X231,"Calcium",MAX(V231:Y231)=Y231,"Iron")</f>
        <v>Vitamin A</v>
      </c>
    </row>
    <row r="232" spans="1:26" x14ac:dyDescent="0.3">
      <c r="A232" t="s">
        <v>416</v>
      </c>
      <c r="B232" t="s">
        <v>339</v>
      </c>
      <c r="C232" t="s">
        <v>234</v>
      </c>
      <c r="D232">
        <v>120</v>
      </c>
      <c r="E232">
        <v>40</v>
      </c>
      <c r="F232" s="2">
        <f t="shared" si="3"/>
        <v>0.33333333333333331</v>
      </c>
      <c r="G232">
        <v>4.5</v>
      </c>
      <c r="H232">
        <v>7</v>
      </c>
      <c r="I232">
        <v>3</v>
      </c>
      <c r="J232">
        <v>15</v>
      </c>
      <c r="K232">
        <v>0</v>
      </c>
      <c r="L232">
        <v>15</v>
      </c>
      <c r="M232">
        <v>6</v>
      </c>
      <c r="N232">
        <v>40</v>
      </c>
      <c r="O232">
        <v>2</v>
      </c>
      <c r="P232">
        <v>20</v>
      </c>
      <c r="Q232">
        <v>7</v>
      </c>
      <c r="R232">
        <v>0</v>
      </c>
      <c r="S232">
        <v>0</v>
      </c>
      <c r="T232">
        <v>19</v>
      </c>
      <c r="U232">
        <v>1</v>
      </c>
      <c r="V232">
        <v>4</v>
      </c>
      <c r="W232">
        <v>0</v>
      </c>
      <c r="X232">
        <v>4</v>
      </c>
      <c r="Y232">
        <v>0</v>
      </c>
      <c r="Z232" t="str" cm="1">
        <f t="array" ref="Z232">_xlfn.IFS(MAX(V232:Y232)=V232,"Vitamin A",MAX(V232:Y232)=W232,"Vitamin C",MAX(V232:Y232)=X232,"Calcium",MAX(V232:Y232)=Y232,"Iron")</f>
        <v>Vitamin A</v>
      </c>
    </row>
    <row r="233" spans="1:26" x14ac:dyDescent="0.3">
      <c r="A233" t="s">
        <v>416</v>
      </c>
      <c r="B233" t="s">
        <v>343</v>
      </c>
      <c r="C233" t="s">
        <v>265</v>
      </c>
      <c r="D233">
        <v>120</v>
      </c>
      <c r="E233">
        <v>60</v>
      </c>
      <c r="F233" s="2">
        <f t="shared" si="3"/>
        <v>0.5</v>
      </c>
      <c r="G233">
        <v>7</v>
      </c>
      <c r="H233">
        <v>11</v>
      </c>
      <c r="I233">
        <v>4.5</v>
      </c>
      <c r="J233">
        <v>22</v>
      </c>
      <c r="K233">
        <v>0</v>
      </c>
      <c r="L233">
        <v>25</v>
      </c>
      <c r="M233">
        <v>9</v>
      </c>
      <c r="N233">
        <v>90</v>
      </c>
      <c r="O233">
        <v>4</v>
      </c>
      <c r="P233">
        <v>12</v>
      </c>
      <c r="Q233">
        <v>4</v>
      </c>
      <c r="R233">
        <v>0</v>
      </c>
      <c r="S233">
        <v>0</v>
      </c>
      <c r="T233">
        <v>2</v>
      </c>
      <c r="U233">
        <v>1</v>
      </c>
      <c r="V233">
        <v>4</v>
      </c>
      <c r="W233">
        <v>0</v>
      </c>
      <c r="X233">
        <v>4</v>
      </c>
      <c r="Y233">
        <v>0</v>
      </c>
      <c r="Z233" t="str" cm="1">
        <f t="array" ref="Z233">_xlfn.IFS(MAX(V233:Y233)=V233,"Vitamin A",MAX(V233:Y233)=W233,"Vitamin C",MAX(V233:Y233)=X233,"Calcium",MAX(V233:Y233)=Y233,"Iron")</f>
        <v>Vitamin A</v>
      </c>
    </row>
    <row r="234" spans="1:26" x14ac:dyDescent="0.3">
      <c r="A234" t="s">
        <v>417</v>
      </c>
      <c r="B234" t="s">
        <v>211</v>
      </c>
      <c r="C234" t="s">
        <v>212</v>
      </c>
      <c r="D234">
        <v>110</v>
      </c>
      <c r="E234">
        <v>50</v>
      </c>
      <c r="F234" s="2">
        <f t="shared" si="3"/>
        <v>0.45454545454545453</v>
      </c>
      <c r="G234">
        <v>5</v>
      </c>
      <c r="H234">
        <v>8</v>
      </c>
      <c r="I234">
        <v>1</v>
      </c>
      <c r="J234">
        <v>4</v>
      </c>
      <c r="K234">
        <v>0</v>
      </c>
      <c r="L234">
        <v>0</v>
      </c>
      <c r="M234">
        <v>0</v>
      </c>
      <c r="N234">
        <v>65</v>
      </c>
      <c r="O234">
        <v>3</v>
      </c>
      <c r="P234">
        <v>15</v>
      </c>
      <c r="Q234">
        <v>5</v>
      </c>
      <c r="R234">
        <v>1</v>
      </c>
      <c r="S234">
        <v>5</v>
      </c>
      <c r="T234">
        <v>0</v>
      </c>
      <c r="U234">
        <v>1</v>
      </c>
      <c r="V234">
        <v>0</v>
      </c>
      <c r="W234">
        <v>15</v>
      </c>
      <c r="X234">
        <v>0</v>
      </c>
      <c r="Y234">
        <v>2</v>
      </c>
      <c r="Z234" t="str" cm="1">
        <f t="array" ref="Z234">_xlfn.IFS(MAX(V234:Y234)=V234,"Vitamin A",MAX(V234:Y234)=W234,"Vitamin C",MAX(V234:Y234)=X234,"Calcium",MAX(V234:Y234)=Y234,"Iron")</f>
        <v>Vitamin C</v>
      </c>
    </row>
    <row r="235" spans="1:26" x14ac:dyDescent="0.3">
      <c r="A235" t="s">
        <v>416</v>
      </c>
      <c r="B235" t="s">
        <v>276</v>
      </c>
      <c r="C235" t="s">
        <v>240</v>
      </c>
      <c r="D235">
        <v>110</v>
      </c>
      <c r="E235">
        <v>0</v>
      </c>
      <c r="F235" s="2">
        <f t="shared" si="3"/>
        <v>0</v>
      </c>
      <c r="G235">
        <v>0</v>
      </c>
      <c r="H235">
        <v>0</v>
      </c>
      <c r="I235">
        <v>0</v>
      </c>
      <c r="J235">
        <v>0</v>
      </c>
      <c r="K235">
        <v>0</v>
      </c>
      <c r="L235">
        <v>0</v>
      </c>
      <c r="M235">
        <v>0</v>
      </c>
      <c r="N235">
        <v>5</v>
      </c>
      <c r="O235">
        <v>0</v>
      </c>
      <c r="P235">
        <v>27</v>
      </c>
      <c r="Q235">
        <v>9</v>
      </c>
      <c r="R235">
        <v>0</v>
      </c>
      <c r="S235">
        <v>0</v>
      </c>
      <c r="T235">
        <v>27</v>
      </c>
      <c r="U235">
        <v>0</v>
      </c>
      <c r="V235">
        <v>0</v>
      </c>
      <c r="W235">
        <v>0</v>
      </c>
      <c r="X235">
        <v>0</v>
      </c>
      <c r="Y235">
        <v>0</v>
      </c>
      <c r="Z235" t="str" cm="1">
        <f t="array" ref="Z235">_xlfn.IFS(MAX(V235:Y235)=V235,"Vitamin A",MAX(V235:Y235)=W235,"Vitamin C",MAX(V235:Y235)=X235,"Calcium",MAX(V235:Y235)=Y235,"Iron")</f>
        <v>Vitamin A</v>
      </c>
    </row>
    <row r="236" spans="1:26" x14ac:dyDescent="0.3">
      <c r="A236" t="s">
        <v>232</v>
      </c>
      <c r="B236" t="s">
        <v>239</v>
      </c>
      <c r="C236" t="s">
        <v>240</v>
      </c>
      <c r="D236">
        <v>100</v>
      </c>
      <c r="E236">
        <v>0</v>
      </c>
      <c r="F236" s="2">
        <f t="shared" si="3"/>
        <v>0</v>
      </c>
      <c r="G236">
        <v>0</v>
      </c>
      <c r="H236">
        <v>0</v>
      </c>
      <c r="I236">
        <v>0</v>
      </c>
      <c r="J236">
        <v>0</v>
      </c>
      <c r="K236">
        <v>0</v>
      </c>
      <c r="L236">
        <v>0</v>
      </c>
      <c r="M236">
        <v>0</v>
      </c>
      <c r="N236">
        <v>0</v>
      </c>
      <c r="O236">
        <v>0</v>
      </c>
      <c r="P236">
        <v>28</v>
      </c>
      <c r="Q236">
        <v>9</v>
      </c>
      <c r="R236">
        <v>0</v>
      </c>
      <c r="S236">
        <v>0</v>
      </c>
      <c r="T236">
        <v>28</v>
      </c>
      <c r="U236">
        <v>0</v>
      </c>
      <c r="V236">
        <v>0</v>
      </c>
      <c r="W236">
        <v>0</v>
      </c>
      <c r="X236">
        <v>0</v>
      </c>
      <c r="Y236">
        <v>0</v>
      </c>
      <c r="Z236" t="str" cm="1">
        <f t="array" ref="Z236">_xlfn.IFS(MAX(V236:Y236)=V236,"Vitamin A",MAX(V236:Y236)=W236,"Vitamin C",MAX(V236:Y236)=X236,"Calcium",MAX(V236:Y236)=Y236,"Iron")</f>
        <v>Vitamin A</v>
      </c>
    </row>
    <row r="237" spans="1:26" x14ac:dyDescent="0.3">
      <c r="A237" t="s">
        <v>232</v>
      </c>
      <c r="B237" t="s">
        <v>248</v>
      </c>
      <c r="C237" t="s">
        <v>240</v>
      </c>
      <c r="D237">
        <v>100</v>
      </c>
      <c r="E237">
        <v>0</v>
      </c>
      <c r="F237" s="2">
        <f t="shared" si="3"/>
        <v>0</v>
      </c>
      <c r="G237">
        <v>0</v>
      </c>
      <c r="H237">
        <v>0</v>
      </c>
      <c r="I237">
        <v>0</v>
      </c>
      <c r="J237">
        <v>0</v>
      </c>
      <c r="K237">
        <v>0</v>
      </c>
      <c r="L237">
        <v>0</v>
      </c>
      <c r="M237">
        <v>0</v>
      </c>
      <c r="N237">
        <v>30</v>
      </c>
      <c r="O237">
        <v>1</v>
      </c>
      <c r="P237">
        <v>27</v>
      </c>
      <c r="Q237">
        <v>9</v>
      </c>
      <c r="R237">
        <v>0</v>
      </c>
      <c r="S237">
        <v>0</v>
      </c>
      <c r="T237">
        <v>26</v>
      </c>
      <c r="U237">
        <v>0</v>
      </c>
      <c r="V237">
        <v>0</v>
      </c>
      <c r="W237">
        <v>0</v>
      </c>
      <c r="X237">
        <v>0</v>
      </c>
      <c r="Y237">
        <v>0</v>
      </c>
      <c r="Z237" t="str" cm="1">
        <f t="array" ref="Z237">_xlfn.IFS(MAX(V237:Y237)=V237,"Vitamin A",MAX(V237:Y237)=W237,"Vitamin C",MAX(V237:Y237)=X237,"Calcium",MAX(V237:Y237)=Y237,"Iron")</f>
        <v>Vitamin A</v>
      </c>
    </row>
    <row r="238" spans="1:26" x14ac:dyDescent="0.3">
      <c r="A238" t="s">
        <v>232</v>
      </c>
      <c r="B238" t="s">
        <v>256</v>
      </c>
      <c r="C238" t="s">
        <v>240</v>
      </c>
      <c r="D238">
        <v>100</v>
      </c>
      <c r="E238">
        <v>0</v>
      </c>
      <c r="F238" s="2">
        <f t="shared" si="3"/>
        <v>0</v>
      </c>
      <c r="G238">
        <v>0</v>
      </c>
      <c r="H238">
        <v>0</v>
      </c>
      <c r="I238">
        <v>0</v>
      </c>
      <c r="J238">
        <v>0</v>
      </c>
      <c r="K238">
        <v>0</v>
      </c>
      <c r="L238">
        <v>0</v>
      </c>
      <c r="M238">
        <v>0</v>
      </c>
      <c r="N238">
        <v>25</v>
      </c>
      <c r="O238">
        <v>1</v>
      </c>
      <c r="P238">
        <v>27</v>
      </c>
      <c r="Q238">
        <v>9</v>
      </c>
      <c r="R238">
        <v>0</v>
      </c>
      <c r="S238">
        <v>0</v>
      </c>
      <c r="T238">
        <v>27</v>
      </c>
      <c r="U238">
        <v>0</v>
      </c>
      <c r="V238">
        <v>0</v>
      </c>
      <c r="W238">
        <v>0</v>
      </c>
      <c r="X238">
        <v>0</v>
      </c>
      <c r="Y238">
        <v>0</v>
      </c>
      <c r="Z238" t="str" cm="1">
        <f t="array" ref="Z238">_xlfn.IFS(MAX(V238:Y238)=V238,"Vitamin A",MAX(V238:Y238)=W238,"Vitamin C",MAX(V238:Y238)=X238,"Calcium",MAX(V238:Y238)=Y238,"Iron")</f>
        <v>Vitamin A</v>
      </c>
    </row>
    <row r="239" spans="1:26" x14ac:dyDescent="0.3">
      <c r="A239" t="s">
        <v>232</v>
      </c>
      <c r="B239" t="s">
        <v>257</v>
      </c>
      <c r="C239" t="s">
        <v>258</v>
      </c>
      <c r="D239">
        <v>100</v>
      </c>
      <c r="E239">
        <v>20</v>
      </c>
      <c r="F239" s="2">
        <f t="shared" si="3"/>
        <v>0.2</v>
      </c>
      <c r="G239">
        <v>2.5</v>
      </c>
      <c r="H239">
        <v>4</v>
      </c>
      <c r="I239">
        <v>1.5</v>
      </c>
      <c r="J239">
        <v>8</v>
      </c>
      <c r="K239">
        <v>0</v>
      </c>
      <c r="L239">
        <v>10</v>
      </c>
      <c r="M239">
        <v>3</v>
      </c>
      <c r="N239">
        <v>125</v>
      </c>
      <c r="O239">
        <v>5</v>
      </c>
      <c r="P239">
        <v>12</v>
      </c>
      <c r="Q239">
        <v>4</v>
      </c>
      <c r="R239">
        <v>0</v>
      </c>
      <c r="S239">
        <v>0</v>
      </c>
      <c r="T239">
        <v>12</v>
      </c>
      <c r="U239">
        <v>8</v>
      </c>
      <c r="V239">
        <v>10</v>
      </c>
      <c r="W239">
        <v>4</v>
      </c>
      <c r="X239">
        <v>30</v>
      </c>
      <c r="Y239">
        <v>0</v>
      </c>
      <c r="Z239" t="str" cm="1">
        <f t="array" ref="Z239">_xlfn.IFS(MAX(V239:Y239)=V239,"Vitamin A",MAX(V239:Y239)=W239,"Vitamin C",MAX(V239:Y239)=X239,"Calcium",MAX(V239:Y239)=Y239,"Iron")</f>
        <v>Calcium</v>
      </c>
    </row>
    <row r="240" spans="1:26" x14ac:dyDescent="0.3">
      <c r="A240" t="s">
        <v>416</v>
      </c>
      <c r="B240" t="s">
        <v>296</v>
      </c>
      <c r="C240" t="s">
        <v>240</v>
      </c>
      <c r="D240">
        <v>100</v>
      </c>
      <c r="E240">
        <v>0</v>
      </c>
      <c r="F240" s="2">
        <f t="shared" si="3"/>
        <v>0</v>
      </c>
      <c r="G240">
        <v>0</v>
      </c>
      <c r="H240">
        <v>0</v>
      </c>
      <c r="I240">
        <v>0</v>
      </c>
      <c r="J240">
        <v>0</v>
      </c>
      <c r="K240">
        <v>0</v>
      </c>
      <c r="L240">
        <v>5</v>
      </c>
      <c r="M240">
        <v>2</v>
      </c>
      <c r="N240">
        <v>110</v>
      </c>
      <c r="O240">
        <v>5</v>
      </c>
      <c r="P240">
        <v>15</v>
      </c>
      <c r="Q240">
        <v>5</v>
      </c>
      <c r="R240">
        <v>1</v>
      </c>
      <c r="S240">
        <v>3</v>
      </c>
      <c r="T240">
        <v>13</v>
      </c>
      <c r="U240">
        <v>10</v>
      </c>
      <c r="V240">
        <v>10</v>
      </c>
      <c r="W240">
        <v>0</v>
      </c>
      <c r="X240">
        <v>30</v>
      </c>
      <c r="Y240">
        <v>0</v>
      </c>
      <c r="Z240" t="str" cm="1">
        <f t="array" ref="Z240">_xlfn.IFS(MAX(V240:Y240)=V240,"Vitamin A",MAX(V240:Y240)=W240,"Vitamin C",MAX(V240:Y240)=X240,"Calcium",MAX(V240:Y240)=Y240,"Iron")</f>
        <v>Calcium</v>
      </c>
    </row>
    <row r="241" spans="1:26" x14ac:dyDescent="0.3">
      <c r="A241" t="s">
        <v>232</v>
      </c>
      <c r="B241" t="s">
        <v>260</v>
      </c>
      <c r="C241" t="s">
        <v>261</v>
      </c>
      <c r="D241">
        <v>80</v>
      </c>
      <c r="E241">
        <v>0</v>
      </c>
      <c r="F241" s="2">
        <f t="shared" si="3"/>
        <v>0</v>
      </c>
      <c r="G241">
        <v>0</v>
      </c>
      <c r="H241">
        <v>0</v>
      </c>
      <c r="I241">
        <v>0</v>
      </c>
      <c r="J241">
        <v>0</v>
      </c>
      <c r="K241">
        <v>0</v>
      </c>
      <c r="L241">
        <v>0</v>
      </c>
      <c r="M241">
        <v>0</v>
      </c>
      <c r="N241">
        <v>15</v>
      </c>
      <c r="O241">
        <v>1</v>
      </c>
      <c r="P241">
        <v>21</v>
      </c>
      <c r="Q241">
        <v>7</v>
      </c>
      <c r="R241">
        <v>0</v>
      </c>
      <c r="S241">
        <v>0</v>
      </c>
      <c r="T241">
        <v>19</v>
      </c>
      <c r="U241">
        <v>0</v>
      </c>
      <c r="V241">
        <v>0</v>
      </c>
      <c r="W241">
        <v>100</v>
      </c>
      <c r="X241">
        <v>10</v>
      </c>
      <c r="Y241">
        <v>0</v>
      </c>
      <c r="Z241" t="str" cm="1">
        <f t="array" ref="Z241">_xlfn.IFS(MAX(V241:Y241)=V241,"Vitamin A",MAX(V241:Y241)=W241,"Vitamin C",MAX(V241:Y241)=X241,"Calcium",MAX(V241:Y241)=Y241,"Iron")</f>
        <v>Vitamin C</v>
      </c>
    </row>
    <row r="242" spans="1:26" x14ac:dyDescent="0.3">
      <c r="A242" t="s">
        <v>416</v>
      </c>
      <c r="B242" t="s">
        <v>342</v>
      </c>
      <c r="C242" t="s">
        <v>234</v>
      </c>
      <c r="D242">
        <v>80</v>
      </c>
      <c r="E242">
        <v>40</v>
      </c>
      <c r="F242" s="2">
        <f t="shared" si="3"/>
        <v>0.5</v>
      </c>
      <c r="G242">
        <v>4.5</v>
      </c>
      <c r="H242">
        <v>7</v>
      </c>
      <c r="I242">
        <v>3</v>
      </c>
      <c r="J242">
        <v>15</v>
      </c>
      <c r="K242">
        <v>0</v>
      </c>
      <c r="L242">
        <v>15</v>
      </c>
      <c r="M242">
        <v>6</v>
      </c>
      <c r="N242">
        <v>65</v>
      </c>
      <c r="O242">
        <v>3</v>
      </c>
      <c r="P242">
        <v>9</v>
      </c>
      <c r="Q242">
        <v>3</v>
      </c>
      <c r="R242">
        <v>0</v>
      </c>
      <c r="S242">
        <v>0</v>
      </c>
      <c r="T242">
        <v>1</v>
      </c>
      <c r="U242">
        <v>1</v>
      </c>
      <c r="V242">
        <v>4</v>
      </c>
      <c r="W242">
        <v>0</v>
      </c>
      <c r="X242">
        <v>4</v>
      </c>
      <c r="Y242">
        <v>0</v>
      </c>
      <c r="Z242" t="str" cm="1">
        <f t="array" ref="Z242">_xlfn.IFS(MAX(V242:Y242)=V242,"Vitamin A",MAX(V242:Y242)=W242,"Vitamin C",MAX(V242:Y242)=X242,"Calcium",MAX(V242:Y242)=Y242,"Iron")</f>
        <v>Vitamin A</v>
      </c>
    </row>
    <row r="243" spans="1:26" x14ac:dyDescent="0.3">
      <c r="A243" t="s">
        <v>219</v>
      </c>
      <c r="B243" t="s">
        <v>225</v>
      </c>
      <c r="C243" t="s">
        <v>226</v>
      </c>
      <c r="D243">
        <v>45</v>
      </c>
      <c r="E243">
        <v>10</v>
      </c>
      <c r="F243" s="2">
        <f t="shared" si="3"/>
        <v>0.22222222222222221</v>
      </c>
      <c r="G243">
        <v>1.5</v>
      </c>
      <c r="H243">
        <v>2</v>
      </c>
      <c r="I243">
        <v>1</v>
      </c>
      <c r="J243">
        <v>4</v>
      </c>
      <c r="K243">
        <v>0</v>
      </c>
      <c r="L243">
        <v>5</v>
      </c>
      <c r="M243">
        <v>2</v>
      </c>
      <c r="N243">
        <v>20</v>
      </c>
      <c r="O243">
        <v>1</v>
      </c>
      <c r="P243">
        <v>7</v>
      </c>
      <c r="Q243">
        <v>2</v>
      </c>
      <c r="R243">
        <v>0</v>
      </c>
      <c r="S243">
        <v>0</v>
      </c>
      <c r="T243">
        <v>6</v>
      </c>
      <c r="U243">
        <v>1</v>
      </c>
      <c r="V243">
        <v>2</v>
      </c>
      <c r="W243">
        <v>0</v>
      </c>
      <c r="X243">
        <v>4</v>
      </c>
      <c r="Y243">
        <v>0</v>
      </c>
      <c r="Z243" t="str" cm="1">
        <f t="array" ref="Z243">_xlfn.IFS(MAX(V243:Y243)=V243,"Vitamin A",MAX(V243:Y243)=W243,"Vitamin C",MAX(V243:Y243)=X243,"Calcium",MAX(V243:Y243)=Y243,"Iron")</f>
        <v>Calcium</v>
      </c>
    </row>
    <row r="244" spans="1:26" x14ac:dyDescent="0.3">
      <c r="A244" t="s">
        <v>417</v>
      </c>
      <c r="B244" t="s">
        <v>213</v>
      </c>
      <c r="C244" t="s">
        <v>214</v>
      </c>
      <c r="D244">
        <v>20</v>
      </c>
      <c r="E244">
        <v>0</v>
      </c>
      <c r="F244" s="2">
        <f t="shared" si="3"/>
        <v>0</v>
      </c>
      <c r="G244">
        <v>0</v>
      </c>
      <c r="H244">
        <v>0</v>
      </c>
      <c r="I244">
        <v>0</v>
      </c>
      <c r="J244">
        <v>0</v>
      </c>
      <c r="K244">
        <v>0</v>
      </c>
      <c r="L244">
        <v>0</v>
      </c>
      <c r="M244">
        <v>0</v>
      </c>
      <c r="N244">
        <v>10</v>
      </c>
      <c r="O244">
        <v>0</v>
      </c>
      <c r="P244">
        <v>4</v>
      </c>
      <c r="Q244">
        <v>1</v>
      </c>
      <c r="R244">
        <v>1</v>
      </c>
      <c r="S244">
        <v>6</v>
      </c>
      <c r="T244">
        <v>2</v>
      </c>
      <c r="U244">
        <v>1</v>
      </c>
      <c r="V244">
        <v>45</v>
      </c>
      <c r="W244">
        <v>25</v>
      </c>
      <c r="X244">
        <v>2</v>
      </c>
      <c r="Y244">
        <v>4</v>
      </c>
      <c r="Z244" t="str" cm="1">
        <f t="array" ref="Z244">_xlfn.IFS(MAX(V244:Y244)=V244,"Vitamin A",MAX(V244:Y244)=W244,"Vitamin C",MAX(V244:Y244)=X244,"Calcium",MAX(V244:Y244)=Y244,"Iron")</f>
        <v>Vitamin A</v>
      </c>
    </row>
    <row r="245" spans="1:26" x14ac:dyDescent="0.3">
      <c r="A245" t="s">
        <v>417</v>
      </c>
      <c r="B245" t="s">
        <v>215</v>
      </c>
      <c r="C245" t="s">
        <v>216</v>
      </c>
      <c r="D245">
        <v>15</v>
      </c>
      <c r="E245">
        <v>0</v>
      </c>
      <c r="F245" s="2">
        <f t="shared" si="3"/>
        <v>0</v>
      </c>
      <c r="G245">
        <v>0</v>
      </c>
      <c r="H245">
        <v>0</v>
      </c>
      <c r="I245">
        <v>0</v>
      </c>
      <c r="J245">
        <v>0</v>
      </c>
      <c r="K245">
        <v>0</v>
      </c>
      <c r="L245">
        <v>0</v>
      </c>
      <c r="M245">
        <v>0</v>
      </c>
      <c r="N245">
        <v>0</v>
      </c>
      <c r="O245">
        <v>0</v>
      </c>
      <c r="P245">
        <v>4</v>
      </c>
      <c r="Q245">
        <v>1</v>
      </c>
      <c r="R245">
        <v>0</v>
      </c>
      <c r="S245">
        <v>0</v>
      </c>
      <c r="T245">
        <v>3</v>
      </c>
      <c r="U245">
        <v>0</v>
      </c>
      <c r="V245">
        <v>0</v>
      </c>
      <c r="W245">
        <v>160</v>
      </c>
      <c r="X245">
        <v>2</v>
      </c>
      <c r="Y245">
        <v>0</v>
      </c>
      <c r="Z245" t="str" cm="1">
        <f t="array" ref="Z245">_xlfn.IFS(MAX(V245:Y245)=V245,"Vitamin A",MAX(V245:Y245)=W245,"Vitamin C",MAX(V245:Y245)=X245,"Calcium",MAX(V245:Y245)=Y245,"Iron")</f>
        <v>Vitamin C</v>
      </c>
    </row>
    <row r="246" spans="1:26" x14ac:dyDescent="0.3">
      <c r="A246" t="s">
        <v>232</v>
      </c>
      <c r="B246" t="s">
        <v>241</v>
      </c>
      <c r="C246" t="s">
        <v>234</v>
      </c>
      <c r="D246">
        <v>0</v>
      </c>
      <c r="E246">
        <v>0</v>
      </c>
      <c r="F246" s="2">
        <f t="shared" si="3"/>
        <v>0</v>
      </c>
      <c r="G246">
        <v>0</v>
      </c>
      <c r="H246">
        <v>0</v>
      </c>
      <c r="I246">
        <v>0</v>
      </c>
      <c r="J246">
        <v>0</v>
      </c>
      <c r="K246">
        <v>0</v>
      </c>
      <c r="L246">
        <v>0</v>
      </c>
      <c r="M246">
        <v>0</v>
      </c>
      <c r="N246">
        <v>10</v>
      </c>
      <c r="O246">
        <v>0</v>
      </c>
      <c r="P246">
        <v>0</v>
      </c>
      <c r="Q246">
        <v>0</v>
      </c>
      <c r="R246">
        <v>0</v>
      </c>
      <c r="S246">
        <v>0</v>
      </c>
      <c r="T246">
        <v>0</v>
      </c>
      <c r="U246">
        <v>0</v>
      </c>
      <c r="V246">
        <v>0</v>
      </c>
      <c r="W246">
        <v>0</v>
      </c>
      <c r="X246">
        <v>0</v>
      </c>
      <c r="Y246">
        <v>0</v>
      </c>
      <c r="Z246" t="str" cm="1">
        <f t="array" ref="Z246">_xlfn.IFS(MAX(V246:Y246)=V246,"Vitamin A",MAX(V246:Y246)=W246,"Vitamin C",MAX(V246:Y246)=X246,"Calcium",MAX(V246:Y246)=Y246,"Iron")</f>
        <v>Vitamin A</v>
      </c>
    </row>
    <row r="247" spans="1:26" x14ac:dyDescent="0.3">
      <c r="A247" t="s">
        <v>232</v>
      </c>
      <c r="B247" t="s">
        <v>242</v>
      </c>
      <c r="C247" t="s">
        <v>236</v>
      </c>
      <c r="D247">
        <v>0</v>
      </c>
      <c r="E247">
        <v>0</v>
      </c>
      <c r="F247" s="2">
        <f t="shared" si="3"/>
        <v>0</v>
      </c>
      <c r="G247">
        <v>0</v>
      </c>
      <c r="H247">
        <v>0</v>
      </c>
      <c r="I247">
        <v>0</v>
      </c>
      <c r="J247">
        <v>0</v>
      </c>
      <c r="K247">
        <v>0</v>
      </c>
      <c r="L247">
        <v>0</v>
      </c>
      <c r="M247">
        <v>0</v>
      </c>
      <c r="N247">
        <v>20</v>
      </c>
      <c r="O247">
        <v>1</v>
      </c>
      <c r="P247">
        <v>0</v>
      </c>
      <c r="Q247">
        <v>0</v>
      </c>
      <c r="R247">
        <v>0</v>
      </c>
      <c r="S247">
        <v>0</v>
      </c>
      <c r="T247">
        <v>0</v>
      </c>
      <c r="U247">
        <v>0</v>
      </c>
      <c r="V247">
        <v>0</v>
      </c>
      <c r="W247">
        <v>0</v>
      </c>
      <c r="X247">
        <v>0</v>
      </c>
      <c r="Y247">
        <v>0</v>
      </c>
      <c r="Z247" t="str" cm="1">
        <f t="array" ref="Z247">_xlfn.IFS(MAX(V247:Y247)=V247,"Vitamin A",MAX(V247:Y247)=W247,"Vitamin C",MAX(V247:Y247)=X247,"Calcium",MAX(V247:Y247)=Y247,"Iron")</f>
        <v>Vitamin A</v>
      </c>
    </row>
    <row r="248" spans="1:26" x14ac:dyDescent="0.3">
      <c r="A248" t="s">
        <v>232</v>
      </c>
      <c r="B248" t="s">
        <v>243</v>
      </c>
      <c r="C248" t="s">
        <v>238</v>
      </c>
      <c r="D248">
        <v>0</v>
      </c>
      <c r="E248">
        <v>0</v>
      </c>
      <c r="F248" s="2">
        <f t="shared" si="3"/>
        <v>0</v>
      </c>
      <c r="G248">
        <v>0</v>
      </c>
      <c r="H248">
        <v>0</v>
      </c>
      <c r="I248">
        <v>0</v>
      </c>
      <c r="J248">
        <v>0</v>
      </c>
      <c r="K248">
        <v>0</v>
      </c>
      <c r="L248">
        <v>0</v>
      </c>
      <c r="M248">
        <v>0</v>
      </c>
      <c r="N248">
        <v>35</v>
      </c>
      <c r="O248">
        <v>1</v>
      </c>
      <c r="P248">
        <v>0</v>
      </c>
      <c r="Q248">
        <v>0</v>
      </c>
      <c r="R248">
        <v>0</v>
      </c>
      <c r="S248">
        <v>0</v>
      </c>
      <c r="T248">
        <v>0</v>
      </c>
      <c r="U248">
        <v>0</v>
      </c>
      <c r="V248">
        <v>0</v>
      </c>
      <c r="W248">
        <v>0</v>
      </c>
      <c r="X248">
        <v>0</v>
      </c>
      <c r="Y248">
        <v>0</v>
      </c>
      <c r="Z248" t="str" cm="1">
        <f t="array" ref="Z248">_xlfn.IFS(MAX(V248:Y248)=V248,"Vitamin A",MAX(V248:Y248)=W248,"Vitamin C",MAX(V248:Y248)=X248,"Calcium",MAX(V248:Y248)=Y248,"Iron")</f>
        <v>Vitamin A</v>
      </c>
    </row>
    <row r="249" spans="1:26" x14ac:dyDescent="0.3">
      <c r="A249" t="s">
        <v>232</v>
      </c>
      <c r="B249" t="s">
        <v>244</v>
      </c>
      <c r="C249" t="s">
        <v>240</v>
      </c>
      <c r="D249">
        <v>0</v>
      </c>
      <c r="E249">
        <v>0</v>
      </c>
      <c r="F249" s="2">
        <f t="shared" si="3"/>
        <v>0</v>
      </c>
      <c r="G249">
        <v>0</v>
      </c>
      <c r="H249">
        <v>0</v>
      </c>
      <c r="I249">
        <v>0</v>
      </c>
      <c r="J249">
        <v>0</v>
      </c>
      <c r="K249">
        <v>0</v>
      </c>
      <c r="L249">
        <v>0</v>
      </c>
      <c r="M249">
        <v>0</v>
      </c>
      <c r="N249">
        <v>15</v>
      </c>
      <c r="O249">
        <v>1</v>
      </c>
      <c r="P249">
        <v>0</v>
      </c>
      <c r="Q249">
        <v>0</v>
      </c>
      <c r="R249">
        <v>0</v>
      </c>
      <c r="S249">
        <v>0</v>
      </c>
      <c r="T249">
        <v>0</v>
      </c>
      <c r="U249">
        <v>0</v>
      </c>
      <c r="V249">
        <v>0</v>
      </c>
      <c r="W249">
        <v>0</v>
      </c>
      <c r="X249">
        <v>0</v>
      </c>
      <c r="Y249">
        <v>0</v>
      </c>
      <c r="Z249" t="str" cm="1">
        <f t="array" ref="Z249">_xlfn.IFS(MAX(V249:Y249)=V249,"Vitamin A",MAX(V249:Y249)=W249,"Vitamin C",MAX(V249:Y249)=X249,"Calcium",MAX(V249:Y249)=Y249,"Iron")</f>
        <v>Vitamin A</v>
      </c>
    </row>
    <row r="250" spans="1:26" x14ac:dyDescent="0.3">
      <c r="A250" t="s">
        <v>232</v>
      </c>
      <c r="B250" t="s">
        <v>249</v>
      </c>
      <c r="C250" t="s">
        <v>234</v>
      </c>
      <c r="D250">
        <v>0</v>
      </c>
      <c r="E250">
        <v>0</v>
      </c>
      <c r="F250" s="2">
        <f t="shared" si="3"/>
        <v>0</v>
      </c>
      <c r="G250">
        <v>0</v>
      </c>
      <c r="H250">
        <v>0</v>
      </c>
      <c r="I250">
        <v>0</v>
      </c>
      <c r="J250">
        <v>0</v>
      </c>
      <c r="K250">
        <v>0</v>
      </c>
      <c r="L250">
        <v>0</v>
      </c>
      <c r="M250">
        <v>0</v>
      </c>
      <c r="N250">
        <v>70</v>
      </c>
      <c r="O250">
        <v>3</v>
      </c>
      <c r="P250">
        <v>0</v>
      </c>
      <c r="Q250">
        <v>0</v>
      </c>
      <c r="R250">
        <v>0</v>
      </c>
      <c r="S250">
        <v>0</v>
      </c>
      <c r="T250">
        <v>0</v>
      </c>
      <c r="U250">
        <v>2</v>
      </c>
      <c r="V250">
        <v>0</v>
      </c>
      <c r="W250">
        <v>0</v>
      </c>
      <c r="X250">
        <v>0</v>
      </c>
      <c r="Y250">
        <v>0</v>
      </c>
      <c r="Z250" t="str" cm="1">
        <f t="array" ref="Z250">_xlfn.IFS(MAX(V250:Y250)=V250,"Vitamin A",MAX(V250:Y250)=W250,"Vitamin C",MAX(V250:Y250)=X250,"Calcium",MAX(V250:Y250)=Y250,"Iron")</f>
        <v>Vitamin A</v>
      </c>
    </row>
    <row r="251" spans="1:26" x14ac:dyDescent="0.3">
      <c r="A251" t="s">
        <v>232</v>
      </c>
      <c r="B251" t="s">
        <v>250</v>
      </c>
      <c r="C251" t="s">
        <v>236</v>
      </c>
      <c r="D251">
        <v>0</v>
      </c>
      <c r="E251">
        <v>0</v>
      </c>
      <c r="F251" s="2">
        <f t="shared" si="3"/>
        <v>0</v>
      </c>
      <c r="G251">
        <v>0</v>
      </c>
      <c r="H251">
        <v>0</v>
      </c>
      <c r="I251">
        <v>0</v>
      </c>
      <c r="J251">
        <v>0</v>
      </c>
      <c r="K251">
        <v>0</v>
      </c>
      <c r="L251">
        <v>0</v>
      </c>
      <c r="M251">
        <v>0</v>
      </c>
      <c r="N251">
        <v>100</v>
      </c>
      <c r="O251">
        <v>4</v>
      </c>
      <c r="P251">
        <v>0</v>
      </c>
      <c r="Q251">
        <v>0</v>
      </c>
      <c r="R251">
        <v>0</v>
      </c>
      <c r="S251">
        <v>0</v>
      </c>
      <c r="T251">
        <v>0</v>
      </c>
      <c r="U251">
        <v>3</v>
      </c>
      <c r="V251">
        <v>0</v>
      </c>
      <c r="W251">
        <v>0</v>
      </c>
      <c r="X251">
        <v>0</v>
      </c>
      <c r="Y251">
        <v>0</v>
      </c>
      <c r="Z251" t="str" cm="1">
        <f t="array" ref="Z251">_xlfn.IFS(MAX(V251:Y251)=V251,"Vitamin A",MAX(V251:Y251)=W251,"Vitamin C",MAX(V251:Y251)=X251,"Calcium",MAX(V251:Y251)=Y251,"Iron")</f>
        <v>Vitamin A</v>
      </c>
    </row>
    <row r="252" spans="1:26" x14ac:dyDescent="0.3">
      <c r="A252" t="s">
        <v>232</v>
      </c>
      <c r="B252" t="s">
        <v>251</v>
      </c>
      <c r="C252" t="s">
        <v>238</v>
      </c>
      <c r="D252">
        <v>0</v>
      </c>
      <c r="E252">
        <v>0</v>
      </c>
      <c r="F252" s="2">
        <f t="shared" si="3"/>
        <v>0</v>
      </c>
      <c r="G252">
        <v>0</v>
      </c>
      <c r="H252">
        <v>0</v>
      </c>
      <c r="I252">
        <v>0</v>
      </c>
      <c r="J252">
        <v>0</v>
      </c>
      <c r="K252">
        <v>0</v>
      </c>
      <c r="L252">
        <v>0</v>
      </c>
      <c r="M252">
        <v>0</v>
      </c>
      <c r="N252">
        <v>140</v>
      </c>
      <c r="O252">
        <v>6</v>
      </c>
      <c r="P252">
        <v>0</v>
      </c>
      <c r="Q252">
        <v>0</v>
      </c>
      <c r="R252">
        <v>0</v>
      </c>
      <c r="S252">
        <v>0</v>
      </c>
      <c r="T252">
        <v>0</v>
      </c>
      <c r="U252">
        <v>4</v>
      </c>
      <c r="V252">
        <v>0</v>
      </c>
      <c r="W252">
        <v>0</v>
      </c>
      <c r="X252">
        <v>0</v>
      </c>
      <c r="Y252">
        <v>0</v>
      </c>
      <c r="Z252" t="str" cm="1">
        <f t="array" ref="Z252">_xlfn.IFS(MAX(V252:Y252)=V252,"Vitamin A",MAX(V252:Y252)=W252,"Vitamin C",MAX(V252:Y252)=X252,"Calcium",MAX(V252:Y252)=Y252,"Iron")</f>
        <v>Vitamin A</v>
      </c>
    </row>
    <row r="253" spans="1:26" x14ac:dyDescent="0.3">
      <c r="A253" t="s">
        <v>232</v>
      </c>
      <c r="B253" t="s">
        <v>252</v>
      </c>
      <c r="C253" t="s">
        <v>240</v>
      </c>
      <c r="D253">
        <v>0</v>
      </c>
      <c r="E253">
        <v>0</v>
      </c>
      <c r="F253" s="2">
        <f t="shared" si="3"/>
        <v>0</v>
      </c>
      <c r="G253">
        <v>0</v>
      </c>
      <c r="H253">
        <v>0</v>
      </c>
      <c r="I253">
        <v>0</v>
      </c>
      <c r="J253">
        <v>0</v>
      </c>
      <c r="K253">
        <v>0</v>
      </c>
      <c r="L253">
        <v>0</v>
      </c>
      <c r="M253">
        <v>0</v>
      </c>
      <c r="N253">
        <v>50</v>
      </c>
      <c r="O253">
        <v>2</v>
      </c>
      <c r="P253">
        <v>0</v>
      </c>
      <c r="Q253">
        <v>0</v>
      </c>
      <c r="R253">
        <v>0</v>
      </c>
      <c r="S253">
        <v>0</v>
      </c>
      <c r="T253">
        <v>0</v>
      </c>
      <c r="U253">
        <v>1</v>
      </c>
      <c r="V253">
        <v>0</v>
      </c>
      <c r="W253">
        <v>0</v>
      </c>
      <c r="X253">
        <v>0</v>
      </c>
      <c r="Y253">
        <v>0</v>
      </c>
      <c r="Z253" t="str" cm="1">
        <f t="array" ref="Z253">_xlfn.IFS(MAX(V253:Y253)=V253,"Vitamin A",MAX(V253:Y253)=W253,"Vitamin C",MAX(V253:Y253)=X253,"Calcium",MAX(V253:Y253)=Y253,"Iron")</f>
        <v>Vitamin A</v>
      </c>
    </row>
    <row r="254" spans="1:26" x14ac:dyDescent="0.3">
      <c r="A254" t="s">
        <v>232</v>
      </c>
      <c r="B254" t="s">
        <v>266</v>
      </c>
      <c r="C254" t="s">
        <v>267</v>
      </c>
      <c r="D254">
        <v>0</v>
      </c>
      <c r="E254">
        <v>0</v>
      </c>
      <c r="F254" s="2">
        <f t="shared" si="3"/>
        <v>0</v>
      </c>
      <c r="G254">
        <v>0</v>
      </c>
      <c r="H254">
        <v>0</v>
      </c>
      <c r="I254">
        <v>0</v>
      </c>
      <c r="J254">
        <v>0</v>
      </c>
      <c r="K254">
        <v>0</v>
      </c>
      <c r="L254">
        <v>0</v>
      </c>
      <c r="M254">
        <v>0</v>
      </c>
      <c r="N254">
        <v>0</v>
      </c>
      <c r="O254">
        <v>0</v>
      </c>
      <c r="P254">
        <v>0</v>
      </c>
      <c r="Q254">
        <v>0</v>
      </c>
      <c r="R254">
        <v>0</v>
      </c>
      <c r="S254">
        <v>0</v>
      </c>
      <c r="T254">
        <v>0</v>
      </c>
      <c r="U254">
        <v>0</v>
      </c>
      <c r="V254">
        <v>0</v>
      </c>
      <c r="W254">
        <v>0</v>
      </c>
      <c r="X254">
        <v>0</v>
      </c>
      <c r="Y254">
        <v>0</v>
      </c>
      <c r="Z254" t="str" cm="1">
        <f t="array" ref="Z254">_xlfn.IFS(MAX(V254:Y254)=V254,"Vitamin A",MAX(V254:Y254)=W254,"Vitamin C",MAX(V254:Y254)=X254,"Calcium",MAX(V254:Y254)=Y254,"Iron")</f>
        <v>Vitamin A</v>
      </c>
    </row>
    <row r="255" spans="1:26" x14ac:dyDescent="0.3">
      <c r="A255" t="s">
        <v>416</v>
      </c>
      <c r="B255" t="s">
        <v>269</v>
      </c>
      <c r="C255" t="s">
        <v>234</v>
      </c>
      <c r="D255">
        <v>0</v>
      </c>
      <c r="E255">
        <v>0</v>
      </c>
      <c r="F255" s="2">
        <f t="shared" si="3"/>
        <v>0</v>
      </c>
      <c r="G255">
        <v>0</v>
      </c>
      <c r="H255">
        <v>0</v>
      </c>
      <c r="I255">
        <v>0</v>
      </c>
      <c r="J255">
        <v>0</v>
      </c>
      <c r="K255">
        <v>0</v>
      </c>
      <c r="L255">
        <v>0</v>
      </c>
      <c r="M255">
        <v>0</v>
      </c>
      <c r="N255">
        <v>10</v>
      </c>
      <c r="O255">
        <v>0</v>
      </c>
      <c r="P255">
        <v>0</v>
      </c>
      <c r="Q255">
        <v>0</v>
      </c>
      <c r="R255">
        <v>0</v>
      </c>
      <c r="S255">
        <v>0</v>
      </c>
      <c r="T255">
        <v>0</v>
      </c>
      <c r="U255">
        <v>0</v>
      </c>
      <c r="V255">
        <v>0</v>
      </c>
      <c r="W255">
        <v>0</v>
      </c>
      <c r="X255">
        <v>0</v>
      </c>
      <c r="Y255">
        <v>0</v>
      </c>
      <c r="Z255" t="str" cm="1">
        <f t="array" ref="Z255">_xlfn.IFS(MAX(V255:Y255)=V255,"Vitamin A",MAX(V255:Y255)=W255,"Vitamin C",MAX(V255:Y255)=X255,"Calcium",MAX(V255:Y255)=Y255,"Iron")</f>
        <v>Vitamin A</v>
      </c>
    </row>
    <row r="256" spans="1:26" x14ac:dyDescent="0.3">
      <c r="A256" t="s">
        <v>416</v>
      </c>
      <c r="B256" t="s">
        <v>270</v>
      </c>
      <c r="C256" t="s">
        <v>236</v>
      </c>
      <c r="D256">
        <v>0</v>
      </c>
      <c r="E256">
        <v>0</v>
      </c>
      <c r="F256" s="2">
        <f t="shared" si="3"/>
        <v>0</v>
      </c>
      <c r="G256">
        <v>0</v>
      </c>
      <c r="H256">
        <v>0</v>
      </c>
      <c r="I256">
        <v>0</v>
      </c>
      <c r="J256">
        <v>0</v>
      </c>
      <c r="K256">
        <v>0</v>
      </c>
      <c r="L256">
        <v>0</v>
      </c>
      <c r="M256">
        <v>0</v>
      </c>
      <c r="N256">
        <v>10</v>
      </c>
      <c r="O256">
        <v>0</v>
      </c>
      <c r="P256">
        <v>0</v>
      </c>
      <c r="Q256">
        <v>0</v>
      </c>
      <c r="R256">
        <v>0</v>
      </c>
      <c r="S256">
        <v>0</v>
      </c>
      <c r="T256">
        <v>0</v>
      </c>
      <c r="U256">
        <v>0</v>
      </c>
      <c r="V256">
        <v>0</v>
      </c>
      <c r="W256">
        <v>0</v>
      </c>
      <c r="X256">
        <v>0</v>
      </c>
      <c r="Y256">
        <v>0</v>
      </c>
      <c r="Z256" t="str" cm="1">
        <f t="array" ref="Z256">_xlfn.IFS(MAX(V256:Y256)=V256,"Vitamin A",MAX(V256:Y256)=W256,"Vitamin C",MAX(V256:Y256)=X256,"Calcium",MAX(V256:Y256)=Y256,"Iron")</f>
        <v>Vitamin A</v>
      </c>
    </row>
    <row r="257" spans="1:26" x14ac:dyDescent="0.3">
      <c r="A257" t="s">
        <v>416</v>
      </c>
      <c r="B257" t="s">
        <v>271</v>
      </c>
      <c r="C257" t="s">
        <v>238</v>
      </c>
      <c r="D257">
        <v>0</v>
      </c>
      <c r="E257">
        <v>0</v>
      </c>
      <c r="F257" s="2">
        <f t="shared" si="3"/>
        <v>0</v>
      </c>
      <c r="G257">
        <v>0</v>
      </c>
      <c r="H257">
        <v>0</v>
      </c>
      <c r="I257">
        <v>0</v>
      </c>
      <c r="J257">
        <v>0</v>
      </c>
      <c r="K257">
        <v>0</v>
      </c>
      <c r="L257">
        <v>0</v>
      </c>
      <c r="M257">
        <v>0</v>
      </c>
      <c r="N257">
        <v>15</v>
      </c>
      <c r="O257">
        <v>1</v>
      </c>
      <c r="P257">
        <v>0</v>
      </c>
      <c r="Q257">
        <v>0</v>
      </c>
      <c r="R257">
        <v>0</v>
      </c>
      <c r="S257">
        <v>0</v>
      </c>
      <c r="T257">
        <v>0</v>
      </c>
      <c r="U257">
        <v>0</v>
      </c>
      <c r="V257">
        <v>0</v>
      </c>
      <c r="W257">
        <v>0</v>
      </c>
      <c r="X257">
        <v>0</v>
      </c>
      <c r="Y257">
        <v>0</v>
      </c>
      <c r="Z257" t="str" cm="1">
        <f t="array" ref="Z257">_xlfn.IFS(MAX(V257:Y257)=V257,"Vitamin A",MAX(V257:Y257)=W257,"Vitamin C",MAX(V257:Y257)=X257,"Calcium",MAX(V257:Y257)=Y257,"Iron")</f>
        <v>Vitamin A</v>
      </c>
    </row>
    <row r="258" spans="1:26" x14ac:dyDescent="0.3">
      <c r="A258" t="s">
        <v>416</v>
      </c>
      <c r="B258" t="s">
        <v>272</v>
      </c>
      <c r="C258" t="s">
        <v>240</v>
      </c>
      <c r="D258">
        <v>0</v>
      </c>
      <c r="E258">
        <v>0</v>
      </c>
      <c r="F258" s="2">
        <f t="shared" si="3"/>
        <v>0</v>
      </c>
      <c r="G258">
        <v>0</v>
      </c>
      <c r="H258">
        <v>0</v>
      </c>
      <c r="I258">
        <v>0</v>
      </c>
      <c r="J258">
        <v>0</v>
      </c>
      <c r="K258">
        <v>0</v>
      </c>
      <c r="L258">
        <v>0</v>
      </c>
      <c r="M258">
        <v>0</v>
      </c>
      <c r="N258">
        <v>5</v>
      </c>
      <c r="O258">
        <v>0</v>
      </c>
      <c r="P258">
        <v>0</v>
      </c>
      <c r="Q258">
        <v>0</v>
      </c>
      <c r="R258">
        <v>0</v>
      </c>
      <c r="S258">
        <v>0</v>
      </c>
      <c r="T258">
        <v>0</v>
      </c>
      <c r="U258">
        <v>0</v>
      </c>
      <c r="V258">
        <v>0</v>
      </c>
      <c r="W258">
        <v>0</v>
      </c>
      <c r="X258">
        <v>0</v>
      </c>
      <c r="Y258">
        <v>0</v>
      </c>
      <c r="Z258" t="str" cm="1">
        <f t="array" ref="Z258">_xlfn.IFS(MAX(V258:Y258)=V258,"Vitamin A",MAX(V258:Y258)=W258,"Vitamin C",MAX(V258:Y258)=X258,"Calcium",MAX(V258:Y258)=Y258,"Iron")</f>
        <v>Vitamin A</v>
      </c>
    </row>
    <row r="259" spans="1:26" x14ac:dyDescent="0.3">
      <c r="A259" t="s">
        <v>416</v>
      </c>
      <c r="B259" t="s">
        <v>277</v>
      </c>
      <c r="C259" t="s">
        <v>240</v>
      </c>
      <c r="D259">
        <v>0</v>
      </c>
      <c r="E259">
        <v>0</v>
      </c>
      <c r="F259" s="2">
        <f t="shared" ref="F259:F261" si="4">IFERROR(E259/D259,0)</f>
        <v>0</v>
      </c>
      <c r="G259">
        <v>0</v>
      </c>
      <c r="H259">
        <v>0</v>
      </c>
      <c r="I259">
        <v>0</v>
      </c>
      <c r="J259">
        <v>0</v>
      </c>
      <c r="K259">
        <v>0</v>
      </c>
      <c r="L259">
        <v>0</v>
      </c>
      <c r="M259">
        <v>0</v>
      </c>
      <c r="N259">
        <v>0</v>
      </c>
      <c r="O259">
        <v>0</v>
      </c>
      <c r="P259">
        <v>0</v>
      </c>
      <c r="Q259">
        <v>0</v>
      </c>
      <c r="R259">
        <v>0</v>
      </c>
      <c r="S259">
        <v>0</v>
      </c>
      <c r="T259">
        <v>0</v>
      </c>
      <c r="U259">
        <v>0</v>
      </c>
      <c r="V259">
        <v>0</v>
      </c>
      <c r="W259">
        <v>0</v>
      </c>
      <c r="X259">
        <v>0</v>
      </c>
      <c r="Y259">
        <v>0</v>
      </c>
      <c r="Z259" t="str" cm="1">
        <f t="array" ref="Z259">_xlfn.IFS(MAX(V259:Y259)=V259,"Vitamin A",MAX(V259:Y259)=W259,"Vitamin C",MAX(V259:Y259)=X259,"Calcium",MAX(V259:Y259)=Y259,"Iron")</f>
        <v>Vitamin A</v>
      </c>
    </row>
    <row r="260" spans="1:26" x14ac:dyDescent="0.3">
      <c r="A260" t="s">
        <v>416</v>
      </c>
      <c r="B260" t="s">
        <v>278</v>
      </c>
      <c r="C260" t="s">
        <v>234</v>
      </c>
      <c r="D260">
        <v>0</v>
      </c>
      <c r="E260">
        <v>0</v>
      </c>
      <c r="F260" s="2">
        <f t="shared" si="4"/>
        <v>0</v>
      </c>
      <c r="G260">
        <v>0</v>
      </c>
      <c r="H260">
        <v>0</v>
      </c>
      <c r="I260">
        <v>0</v>
      </c>
      <c r="J260">
        <v>0</v>
      </c>
      <c r="K260">
        <v>0</v>
      </c>
      <c r="L260">
        <v>0</v>
      </c>
      <c r="M260">
        <v>0</v>
      </c>
      <c r="N260">
        <v>0</v>
      </c>
      <c r="O260">
        <v>0</v>
      </c>
      <c r="P260">
        <v>0</v>
      </c>
      <c r="Q260">
        <v>0</v>
      </c>
      <c r="R260">
        <v>0</v>
      </c>
      <c r="S260">
        <v>0</v>
      </c>
      <c r="T260">
        <v>0</v>
      </c>
      <c r="U260">
        <v>0</v>
      </c>
      <c r="V260">
        <v>0</v>
      </c>
      <c r="W260">
        <v>0</v>
      </c>
      <c r="X260">
        <v>0</v>
      </c>
      <c r="Y260">
        <v>0</v>
      </c>
      <c r="Z260" t="str" cm="1">
        <f t="array" ref="Z260">_xlfn.IFS(MAX(V260:Y260)=V260,"Vitamin A",MAX(V260:Y260)=W260,"Vitamin C",MAX(V260:Y260)=X260,"Calcium",MAX(V260:Y260)=Y260,"Iron")</f>
        <v>Vitamin A</v>
      </c>
    </row>
    <row r="261" spans="1:26" x14ac:dyDescent="0.3">
      <c r="A261" t="s">
        <v>416</v>
      </c>
      <c r="B261" t="s">
        <v>279</v>
      </c>
      <c r="C261" t="s">
        <v>234</v>
      </c>
      <c r="D261">
        <v>0</v>
      </c>
      <c r="E261">
        <v>0</v>
      </c>
      <c r="F261" s="2">
        <f t="shared" si="4"/>
        <v>0</v>
      </c>
      <c r="G261">
        <v>0</v>
      </c>
      <c r="H261">
        <v>0</v>
      </c>
      <c r="I261">
        <v>0</v>
      </c>
      <c r="J261">
        <v>0</v>
      </c>
      <c r="K261">
        <v>0</v>
      </c>
      <c r="L261">
        <v>0</v>
      </c>
      <c r="M261">
        <v>0</v>
      </c>
      <c r="N261">
        <v>0</v>
      </c>
      <c r="O261">
        <v>0</v>
      </c>
      <c r="P261">
        <v>0</v>
      </c>
      <c r="Q261">
        <v>0</v>
      </c>
      <c r="R261">
        <v>0</v>
      </c>
      <c r="S261">
        <v>0</v>
      </c>
      <c r="T261">
        <v>0</v>
      </c>
      <c r="U261">
        <v>0</v>
      </c>
      <c r="V261">
        <v>0</v>
      </c>
      <c r="W261">
        <v>0</v>
      </c>
      <c r="X261">
        <v>0</v>
      </c>
      <c r="Y261">
        <v>0</v>
      </c>
      <c r="Z261" t="str" cm="1">
        <f t="array" ref="Z261">_xlfn.IFS(MAX(V261:Y261)=V261,"Vitamin A",MAX(V261:Y261)=W261,"Vitamin C",MAX(V261:Y261)=X261,"Calcium",MAX(V261:Y261)=Y261,"Iron")</f>
        <v>Vitamin 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FE7BD-C0C2-4474-9014-796F164D705D}">
  <dimension ref="A1:Y71"/>
  <sheetViews>
    <sheetView showGridLines="0" topLeftCell="A31" zoomScale="98" zoomScaleNormal="98" workbookViewId="0">
      <selection activeCell="D54" sqref="D54"/>
    </sheetView>
  </sheetViews>
  <sheetFormatPr defaultRowHeight="14.4" x14ac:dyDescent="0.3"/>
  <cols>
    <col min="1" max="1" width="1.21875" customWidth="1"/>
    <col min="2" max="2" width="17.21875" bestFit="1" customWidth="1"/>
    <col min="3" max="3" width="0.6640625" customWidth="1"/>
    <col min="4" max="4" width="22.109375" customWidth="1"/>
    <col min="5" max="5" width="1.5546875" customWidth="1"/>
    <col min="15" max="15" width="7.88671875" customWidth="1"/>
    <col min="16" max="16" width="4.33203125" customWidth="1"/>
    <col min="19" max="19" width="11.109375" bestFit="1" customWidth="1"/>
  </cols>
  <sheetData>
    <row r="1" spans="1:25" x14ac:dyDescent="0.3">
      <c r="A1" s="15"/>
      <c r="B1" s="29"/>
      <c r="C1" s="29"/>
      <c r="D1" s="29"/>
      <c r="E1" s="34"/>
      <c r="F1" s="34"/>
      <c r="G1" s="34"/>
      <c r="H1" s="34"/>
      <c r="I1" s="34"/>
      <c r="J1" s="34"/>
      <c r="K1" s="34"/>
      <c r="L1" s="34"/>
      <c r="M1" s="34"/>
      <c r="N1" s="34"/>
      <c r="O1" s="34"/>
      <c r="P1" s="34"/>
      <c r="Q1" s="34"/>
      <c r="R1" s="34"/>
      <c r="S1" s="34"/>
      <c r="T1" s="34"/>
      <c r="U1" s="34"/>
      <c r="V1" s="34"/>
      <c r="W1" s="34"/>
      <c r="X1" s="34"/>
      <c r="Y1" s="34"/>
    </row>
    <row r="2" spans="1:25" x14ac:dyDescent="0.3">
      <c r="A2" s="15"/>
      <c r="B2" s="29"/>
      <c r="C2" s="29"/>
      <c r="D2" s="29"/>
      <c r="E2" s="34"/>
      <c r="F2" s="34"/>
      <c r="G2" s="34"/>
      <c r="H2" s="34"/>
      <c r="I2" s="34"/>
      <c r="J2" s="34"/>
      <c r="K2" s="34"/>
      <c r="L2" s="34"/>
      <c r="M2" s="34"/>
      <c r="N2" s="34"/>
      <c r="O2" s="34"/>
      <c r="P2" s="34"/>
      <c r="Q2" s="34"/>
      <c r="R2" s="34"/>
      <c r="S2" s="34"/>
      <c r="T2" s="34"/>
      <c r="U2" s="34"/>
      <c r="V2" s="34"/>
      <c r="W2" s="34"/>
      <c r="X2" s="34"/>
      <c r="Y2" s="34"/>
    </row>
    <row r="3" spans="1:25" x14ac:dyDescent="0.3">
      <c r="A3" s="15"/>
      <c r="B3" s="29"/>
      <c r="C3" s="29"/>
      <c r="D3" s="29"/>
      <c r="E3" s="34"/>
      <c r="F3" s="34"/>
      <c r="G3" s="34"/>
      <c r="H3" s="34"/>
      <c r="I3" s="34"/>
      <c r="J3" s="34"/>
      <c r="K3" s="34"/>
      <c r="L3" s="34"/>
      <c r="M3" s="34"/>
      <c r="N3" s="34"/>
      <c r="O3" s="34"/>
      <c r="P3" s="34"/>
      <c r="Q3" s="34"/>
      <c r="R3" s="34"/>
      <c r="S3" s="34"/>
      <c r="T3" s="34"/>
      <c r="U3" s="34"/>
      <c r="V3" s="34"/>
      <c r="W3" s="34"/>
      <c r="X3" s="34"/>
      <c r="Y3" s="34"/>
    </row>
    <row r="4" spans="1:25" x14ac:dyDescent="0.3">
      <c r="A4" s="15"/>
      <c r="B4" s="29"/>
      <c r="C4" s="29"/>
      <c r="D4" s="29"/>
      <c r="E4" s="34"/>
      <c r="F4" s="34"/>
      <c r="G4" s="34"/>
      <c r="H4" s="34"/>
      <c r="I4" s="34"/>
      <c r="J4" s="34"/>
      <c r="K4" s="34"/>
      <c r="L4" s="34"/>
      <c r="M4" s="34"/>
      <c r="N4" s="34"/>
      <c r="O4" s="34"/>
      <c r="P4" s="34"/>
      <c r="Q4" s="34"/>
      <c r="R4" s="34"/>
      <c r="S4" s="34"/>
      <c r="T4" s="34"/>
      <c r="U4" s="34"/>
      <c r="V4" s="34"/>
      <c r="W4" s="34"/>
      <c r="X4" s="34"/>
      <c r="Y4" s="34"/>
    </row>
    <row r="5" spans="1:25" ht="15" x14ac:dyDescent="0.35">
      <c r="A5" s="15"/>
      <c r="B5" s="32" t="s">
        <v>0</v>
      </c>
      <c r="C5" s="15"/>
      <c r="D5" s="32" t="s">
        <v>412</v>
      </c>
      <c r="E5" s="34"/>
      <c r="F5" s="34"/>
      <c r="G5" s="34"/>
      <c r="H5" s="34"/>
      <c r="I5" s="34"/>
      <c r="J5" s="34"/>
      <c r="K5" s="34"/>
      <c r="L5" s="34"/>
      <c r="M5" s="34"/>
      <c r="N5" s="34"/>
      <c r="O5" s="34"/>
      <c r="P5" s="34"/>
      <c r="Q5" s="34"/>
      <c r="R5" s="34"/>
      <c r="S5" s="34"/>
      <c r="T5" s="34"/>
      <c r="U5" s="34"/>
      <c r="V5" s="34"/>
      <c r="W5" s="34"/>
      <c r="X5" s="34"/>
      <c r="Y5" s="34"/>
    </row>
    <row r="6" spans="1:25" x14ac:dyDescent="0.3">
      <c r="A6" s="15"/>
      <c r="B6" s="13" t="s">
        <v>219</v>
      </c>
      <c r="C6" s="15"/>
      <c r="D6" s="13" t="s">
        <v>227</v>
      </c>
      <c r="E6" s="34"/>
      <c r="F6" s="34"/>
      <c r="G6" s="34"/>
      <c r="H6" s="34"/>
      <c r="I6" s="34"/>
      <c r="J6" s="34"/>
      <c r="K6" s="34"/>
      <c r="L6" s="34"/>
      <c r="M6" s="34"/>
      <c r="N6" s="34"/>
      <c r="O6" s="34"/>
      <c r="P6" s="34"/>
      <c r="Q6" s="34"/>
      <c r="R6" s="34"/>
      <c r="S6" s="34"/>
      <c r="T6" s="34"/>
      <c r="U6" s="34"/>
      <c r="V6" s="34"/>
      <c r="W6" s="34"/>
      <c r="X6" s="34"/>
      <c r="Y6" s="34"/>
    </row>
    <row r="7" spans="1:25" ht="10.8" customHeight="1" thickBot="1" x14ac:dyDescent="0.35">
      <c r="A7" s="15"/>
      <c r="B7" s="15"/>
      <c r="C7" s="15"/>
      <c r="D7" s="15"/>
      <c r="E7" s="34"/>
      <c r="F7" s="34"/>
      <c r="G7" s="34"/>
      <c r="H7" s="34"/>
      <c r="I7" s="34"/>
      <c r="J7" s="34"/>
      <c r="K7" s="34"/>
      <c r="L7" s="34"/>
      <c r="M7" s="34"/>
      <c r="N7" s="34"/>
      <c r="O7" s="34"/>
      <c r="P7" s="34"/>
      <c r="Q7" s="34"/>
      <c r="R7" s="34"/>
      <c r="S7" s="34"/>
      <c r="T7" s="34"/>
      <c r="U7" s="34"/>
      <c r="V7" s="34"/>
      <c r="W7" s="34"/>
      <c r="X7" s="34"/>
      <c r="Y7" s="34"/>
    </row>
    <row r="8" spans="1:25" ht="23.4" customHeight="1" x14ac:dyDescent="0.45">
      <c r="A8" s="15"/>
      <c r="B8" s="35" t="s">
        <v>424</v>
      </c>
      <c r="C8" s="36"/>
      <c r="D8" s="37"/>
      <c r="E8" s="34"/>
      <c r="F8" s="34"/>
      <c r="G8" s="34"/>
      <c r="H8" s="34"/>
      <c r="I8" s="34"/>
      <c r="J8" s="34"/>
      <c r="K8" s="34"/>
      <c r="L8" s="34"/>
      <c r="M8" s="34"/>
      <c r="N8" s="34"/>
      <c r="O8" s="34"/>
      <c r="P8" s="34"/>
      <c r="Q8" s="34"/>
      <c r="R8" s="34"/>
      <c r="S8" s="34"/>
      <c r="T8" s="34"/>
      <c r="U8" s="34"/>
      <c r="V8" s="34"/>
      <c r="W8" s="34"/>
      <c r="X8" s="34"/>
      <c r="Y8" s="34"/>
    </row>
    <row r="9" spans="1:25" ht="15" thickBot="1" x14ac:dyDescent="0.35">
      <c r="A9" s="15"/>
      <c r="B9" s="38" t="str">
        <f>D6</f>
        <v>Hot Fudge Sundae</v>
      </c>
      <c r="C9" s="39"/>
      <c r="D9" s="40"/>
      <c r="E9" s="34"/>
      <c r="F9" s="34"/>
      <c r="G9" s="34"/>
      <c r="H9" s="34"/>
      <c r="I9" s="34"/>
      <c r="J9" s="34"/>
      <c r="K9" s="34"/>
      <c r="L9" s="34"/>
      <c r="M9" s="34"/>
      <c r="N9" s="34"/>
      <c r="O9" s="34"/>
      <c r="P9" s="34"/>
      <c r="Q9" s="34"/>
      <c r="R9" s="34"/>
      <c r="S9" s="34"/>
      <c r="T9" s="34"/>
      <c r="U9" s="34"/>
      <c r="V9" s="34"/>
      <c r="W9" s="34"/>
      <c r="X9" s="34"/>
      <c r="Y9" s="34"/>
    </row>
    <row r="10" spans="1:25" ht="16.2" x14ac:dyDescent="0.35">
      <c r="A10" s="15"/>
      <c r="B10" s="21" t="s">
        <v>2</v>
      </c>
      <c r="C10" s="22"/>
      <c r="D10" s="23" t="str">
        <f>_xlfn.XLOOKUP($D$6,Menu_Cleaned!$B$2:$B$261,Menu_Cleaned!C2:C261)</f>
        <v>6.3 oz (179 g)</v>
      </c>
      <c r="E10" s="34"/>
      <c r="F10" s="34"/>
      <c r="G10" s="34"/>
      <c r="H10" s="34"/>
      <c r="I10" s="34"/>
      <c r="J10" s="34"/>
      <c r="K10" s="34"/>
      <c r="L10" s="34"/>
      <c r="M10" s="34"/>
      <c r="N10" s="34"/>
      <c r="O10" s="34"/>
      <c r="P10" s="34"/>
      <c r="Q10" s="34"/>
      <c r="R10" s="34"/>
      <c r="S10" s="34"/>
      <c r="T10" s="34"/>
      <c r="U10" s="34"/>
      <c r="V10" s="34"/>
      <c r="W10" s="34"/>
      <c r="X10" s="34"/>
      <c r="Y10" s="34"/>
    </row>
    <row r="11" spans="1:25" ht="16.2" x14ac:dyDescent="0.35">
      <c r="A11" s="15"/>
      <c r="B11" s="17" t="s">
        <v>3</v>
      </c>
      <c r="C11" s="20"/>
      <c r="D11" s="18">
        <f>_xlfn.XLOOKUP($D$6,Menu_Cleaned!$B$2:$B$261,Menu_Cleaned!$D$2:$D$261)</f>
        <v>330</v>
      </c>
      <c r="E11" s="34"/>
      <c r="F11" s="34"/>
      <c r="G11" s="34"/>
      <c r="H11" s="34"/>
      <c r="I11" s="34"/>
      <c r="J11" s="34"/>
      <c r="K11" s="34"/>
      <c r="L11" s="34"/>
      <c r="M11" s="34"/>
      <c r="N11" s="34"/>
      <c r="O11" s="34"/>
      <c r="P11" s="34"/>
      <c r="Q11" s="34"/>
      <c r="R11" s="34"/>
      <c r="S11" s="34"/>
      <c r="T11" s="34"/>
      <c r="U11" s="34"/>
      <c r="V11" s="34"/>
      <c r="W11" s="34"/>
      <c r="X11" s="34"/>
      <c r="Y11" s="34"/>
    </row>
    <row r="12" spans="1:25" ht="16.2" x14ac:dyDescent="0.35">
      <c r="A12" s="15"/>
      <c r="B12" s="14" t="s">
        <v>429</v>
      </c>
      <c r="C12" s="19"/>
      <c r="D12" s="16">
        <f>_xlfn.XLOOKUP($D$6,Menu_Cleaned!$B$2:$B$261,Menu_Cleaned!$G$2:$G$261)</f>
        <v>9</v>
      </c>
      <c r="E12" s="34"/>
      <c r="F12" s="34"/>
      <c r="G12" s="34"/>
      <c r="H12" s="34"/>
      <c r="I12" s="34"/>
      <c r="J12" s="34"/>
      <c r="K12" s="34"/>
      <c r="L12" s="34"/>
      <c r="M12" s="34"/>
      <c r="N12" s="34"/>
      <c r="O12" s="34"/>
      <c r="P12" s="34"/>
      <c r="Q12" s="34"/>
      <c r="R12" s="34"/>
      <c r="S12" s="34"/>
      <c r="T12" s="34"/>
      <c r="U12" s="34"/>
      <c r="V12" s="34"/>
      <c r="W12" s="34"/>
      <c r="X12" s="34"/>
      <c r="Y12" s="34"/>
    </row>
    <row r="13" spans="1:25" ht="16.2" x14ac:dyDescent="0.35">
      <c r="A13" s="15"/>
      <c r="B13" s="17" t="s">
        <v>428</v>
      </c>
      <c r="C13" s="20"/>
      <c r="D13" s="18">
        <f>_xlfn.XLOOKUP($D$6,Menu_Cleaned!$B$2:$B$261,Menu_Cleaned!$I$2:$I$261)</f>
        <v>7</v>
      </c>
      <c r="E13" s="34"/>
      <c r="F13" s="34"/>
      <c r="G13" s="34"/>
      <c r="H13" s="34"/>
      <c r="I13" s="34"/>
      <c r="J13" s="34"/>
      <c r="K13" s="34"/>
      <c r="L13" s="34"/>
      <c r="M13" s="34"/>
      <c r="N13" s="34"/>
      <c r="O13" s="34"/>
      <c r="P13" s="34"/>
      <c r="Q13" s="34"/>
      <c r="R13" s="34"/>
      <c r="S13" s="34"/>
      <c r="T13" s="34"/>
      <c r="U13" s="34"/>
      <c r="V13" s="34"/>
      <c r="W13" s="34"/>
      <c r="X13" s="34"/>
      <c r="Y13" s="34"/>
    </row>
    <row r="14" spans="1:25" ht="16.2" x14ac:dyDescent="0.35">
      <c r="A14" s="15"/>
      <c r="B14" s="14" t="s">
        <v>427</v>
      </c>
      <c r="C14" s="19"/>
      <c r="D14" s="16">
        <f>_xlfn.XLOOKUP($D$6,Menu_Cleaned!$B$2:$B$261,Menu_Cleaned!$L$2:$L$261)</f>
        <v>25</v>
      </c>
      <c r="E14" s="34"/>
      <c r="F14" s="34"/>
      <c r="G14" s="34"/>
      <c r="H14" s="34"/>
      <c r="I14" s="34"/>
      <c r="J14" s="34"/>
      <c r="K14" s="34"/>
      <c r="L14" s="34"/>
      <c r="M14" s="34"/>
      <c r="N14" s="34"/>
      <c r="O14" s="34"/>
      <c r="P14" s="34"/>
      <c r="Q14" s="34"/>
      <c r="R14" s="34"/>
      <c r="S14" s="34"/>
      <c r="T14" s="34"/>
      <c r="U14" s="34"/>
      <c r="V14" s="34"/>
      <c r="W14" s="34"/>
      <c r="X14" s="34"/>
      <c r="Y14" s="34"/>
    </row>
    <row r="15" spans="1:25" ht="16.2" x14ac:dyDescent="0.35">
      <c r="A15" s="15"/>
      <c r="B15" s="17" t="s">
        <v>426</v>
      </c>
      <c r="C15" s="20"/>
      <c r="D15" s="18">
        <f>_xlfn.XLOOKUP($D$6,Menu_Cleaned!$B$2:$B$261,Menu_Cleaned!$N$2:$N$261)</f>
        <v>170</v>
      </c>
      <c r="E15" s="34"/>
      <c r="F15" s="34"/>
      <c r="G15" s="34"/>
      <c r="H15" s="34"/>
      <c r="I15" s="34"/>
      <c r="J15" s="34"/>
      <c r="K15" s="34"/>
      <c r="L15" s="34"/>
      <c r="M15" s="34"/>
      <c r="N15" s="34"/>
      <c r="O15" s="34"/>
      <c r="P15" s="34"/>
      <c r="Q15" s="34"/>
      <c r="R15" s="34"/>
      <c r="S15" s="34"/>
      <c r="T15" s="34"/>
      <c r="U15" s="34"/>
      <c r="V15" s="34"/>
      <c r="W15" s="34"/>
      <c r="X15" s="34"/>
      <c r="Y15" s="34"/>
    </row>
    <row r="16" spans="1:25" ht="16.2" x14ac:dyDescent="0.35">
      <c r="A16" s="15"/>
      <c r="B16" s="14" t="s">
        <v>425</v>
      </c>
      <c r="C16" s="19"/>
      <c r="D16" s="16">
        <f>_xlfn.XLOOKUP($D$6,Menu_Cleaned!$B$2:$B$261,Menu_Cleaned!$T$2:$T$261)</f>
        <v>48</v>
      </c>
      <c r="E16" s="34"/>
      <c r="F16" s="34"/>
      <c r="G16" s="34"/>
      <c r="H16" s="34"/>
      <c r="I16" s="34"/>
      <c r="J16" s="34"/>
      <c r="K16" s="34"/>
      <c r="L16" s="34"/>
      <c r="M16" s="34"/>
      <c r="N16" s="34"/>
      <c r="O16" s="34"/>
      <c r="P16" s="34"/>
      <c r="Q16" s="34"/>
      <c r="R16" s="34"/>
      <c r="S16" s="34"/>
      <c r="T16" s="34"/>
      <c r="U16" s="34"/>
      <c r="V16" s="34"/>
      <c r="W16" s="34"/>
      <c r="X16" s="34"/>
      <c r="Y16" s="34"/>
    </row>
    <row r="17" spans="1:25" ht="16.2" x14ac:dyDescent="0.35">
      <c r="A17" s="15"/>
      <c r="B17" s="17" t="s">
        <v>430</v>
      </c>
      <c r="C17" s="20"/>
      <c r="D17" s="18">
        <f>_xlfn.XLOOKUP($D$6,Menu_Cleaned!$B$2:$B$261,Menu_Cleaned!$U$2:$U$261)</f>
        <v>8</v>
      </c>
      <c r="E17" s="34"/>
      <c r="F17" s="34"/>
      <c r="G17" s="34"/>
      <c r="H17" s="34"/>
      <c r="I17" s="34"/>
      <c r="J17" s="34"/>
      <c r="K17" s="34"/>
      <c r="L17" s="34"/>
      <c r="M17" s="34"/>
      <c r="N17" s="34"/>
      <c r="O17" s="34"/>
      <c r="P17" s="34"/>
      <c r="Q17" s="34"/>
      <c r="R17" s="34"/>
      <c r="S17" s="34"/>
      <c r="T17" s="34"/>
      <c r="U17" s="34"/>
      <c r="V17" s="34"/>
      <c r="W17" s="34"/>
      <c r="X17" s="34"/>
      <c r="Y17" s="34"/>
    </row>
    <row r="18" spans="1:25" ht="16.8" thickBot="1" x14ac:dyDescent="0.4">
      <c r="A18" s="15"/>
      <c r="B18" s="24" t="s">
        <v>431</v>
      </c>
      <c r="C18" s="25"/>
      <c r="D18" s="26">
        <f>_xlfn.XLOOKUP($D$6,Menu_Cleaned!$B$2:$B$261,Menu_Cleaned!$P$2:$P$261)</f>
        <v>53</v>
      </c>
      <c r="E18" s="34"/>
      <c r="F18" s="34"/>
      <c r="G18" s="34"/>
      <c r="H18" s="34"/>
      <c r="I18" s="34"/>
      <c r="J18" s="34"/>
      <c r="K18" s="34"/>
      <c r="L18" s="34"/>
      <c r="M18" s="34"/>
      <c r="N18" s="34"/>
      <c r="O18" s="34"/>
      <c r="P18" s="34"/>
      <c r="Q18" s="34"/>
      <c r="R18" s="34"/>
      <c r="S18" s="34"/>
      <c r="T18" s="34"/>
      <c r="U18" s="34"/>
      <c r="V18" s="34"/>
      <c r="W18" s="34"/>
      <c r="X18" s="34"/>
      <c r="Y18" s="34"/>
    </row>
    <row r="19" spans="1:25" ht="5.4" customHeight="1" thickBot="1" x14ac:dyDescent="0.4">
      <c r="A19" s="15"/>
      <c r="B19" s="30"/>
      <c r="C19" s="20"/>
      <c r="D19" s="31"/>
      <c r="E19" s="34"/>
      <c r="F19" s="34"/>
      <c r="G19" s="34"/>
      <c r="H19" s="34"/>
      <c r="I19" s="34"/>
      <c r="J19" s="34"/>
      <c r="K19" s="34"/>
      <c r="L19" s="34"/>
      <c r="M19" s="34"/>
      <c r="N19" s="34"/>
      <c r="O19" s="34"/>
      <c r="P19" s="34"/>
      <c r="Q19" s="34"/>
      <c r="R19" s="34"/>
      <c r="S19" s="34"/>
      <c r="T19" s="34"/>
      <c r="U19" s="34"/>
      <c r="V19" s="34"/>
      <c r="W19" s="34"/>
      <c r="X19" s="34"/>
      <c r="Y19" s="34"/>
    </row>
    <row r="20" spans="1:25" ht="24" customHeight="1" thickBot="1" x14ac:dyDescent="0.5">
      <c r="A20" s="15"/>
      <c r="B20" s="35" t="s">
        <v>436</v>
      </c>
      <c r="C20" s="36"/>
      <c r="D20" s="37"/>
      <c r="E20" s="34"/>
      <c r="F20" s="34"/>
      <c r="G20" s="34"/>
      <c r="H20" s="34"/>
      <c r="I20" s="34"/>
      <c r="J20" s="34"/>
      <c r="K20" s="34"/>
      <c r="L20" s="34"/>
      <c r="M20" s="34"/>
      <c r="N20" s="34"/>
      <c r="O20" s="34"/>
      <c r="P20" s="34"/>
      <c r="Q20" s="34"/>
      <c r="R20" s="34"/>
      <c r="S20" s="34"/>
      <c r="T20" s="34"/>
      <c r="U20" s="34"/>
      <c r="V20" s="34"/>
      <c r="W20" s="34"/>
      <c r="X20" s="34"/>
      <c r="Y20" s="34"/>
    </row>
    <row r="21" spans="1:25" ht="16.2" x14ac:dyDescent="0.35">
      <c r="A21" s="15"/>
      <c r="B21" s="21" t="s">
        <v>3</v>
      </c>
      <c r="C21" s="22"/>
      <c r="D21" s="23">
        <v>2000</v>
      </c>
      <c r="E21" s="34"/>
      <c r="F21" s="34"/>
      <c r="G21" s="34"/>
      <c r="H21" s="34"/>
      <c r="I21" s="34"/>
      <c r="J21" s="34"/>
      <c r="K21" s="34"/>
      <c r="L21" s="34"/>
      <c r="M21" s="34"/>
      <c r="N21" s="34"/>
      <c r="O21" s="34"/>
      <c r="P21" s="34"/>
      <c r="Q21" s="34"/>
      <c r="R21" s="34"/>
      <c r="S21" s="34"/>
      <c r="T21" s="34"/>
      <c r="U21" s="34"/>
      <c r="V21" s="34"/>
      <c r="W21" s="34"/>
      <c r="X21" s="34"/>
      <c r="Y21" s="34"/>
    </row>
    <row r="22" spans="1:25" ht="16.2" x14ac:dyDescent="0.35">
      <c r="A22" s="15"/>
      <c r="B22" s="17" t="s">
        <v>418</v>
      </c>
      <c r="C22" s="20"/>
      <c r="D22" s="18" t="s">
        <v>443</v>
      </c>
      <c r="E22" s="34"/>
      <c r="F22" s="34"/>
      <c r="G22" s="34"/>
      <c r="H22" s="34"/>
      <c r="I22" s="34"/>
      <c r="J22" s="34"/>
      <c r="K22" s="34"/>
      <c r="L22" s="34"/>
      <c r="M22" s="34"/>
      <c r="N22" s="34"/>
      <c r="O22" s="34"/>
      <c r="P22" s="34"/>
      <c r="Q22" s="34"/>
      <c r="R22" s="34"/>
      <c r="S22" s="34"/>
      <c r="T22" s="34"/>
      <c r="U22" s="34"/>
      <c r="V22" s="34"/>
      <c r="W22" s="34"/>
      <c r="X22" s="34"/>
      <c r="Y22" s="34"/>
    </row>
    <row r="23" spans="1:25" ht="16.2" x14ac:dyDescent="0.35">
      <c r="A23" s="15"/>
      <c r="B23" s="14" t="s">
        <v>7</v>
      </c>
      <c r="C23" s="19"/>
      <c r="D23" s="16" t="s">
        <v>444</v>
      </c>
      <c r="E23" s="34"/>
      <c r="F23" s="34"/>
      <c r="G23" s="34"/>
      <c r="H23" s="34"/>
      <c r="I23" s="34"/>
      <c r="J23" s="34"/>
      <c r="K23" s="34"/>
      <c r="L23" s="34"/>
      <c r="M23" s="34"/>
      <c r="N23" s="34"/>
      <c r="O23" s="34"/>
      <c r="P23" s="34"/>
      <c r="Q23" s="34"/>
      <c r="R23" s="34"/>
      <c r="S23" s="34"/>
      <c r="T23" s="34"/>
      <c r="U23" s="34"/>
      <c r="V23" s="34"/>
      <c r="W23" s="34"/>
      <c r="X23" s="34"/>
      <c r="Y23" s="34"/>
    </row>
    <row r="24" spans="1:25" ht="16.2" x14ac:dyDescent="0.35">
      <c r="A24" s="15"/>
      <c r="B24" s="17" t="s">
        <v>9</v>
      </c>
      <c r="C24" s="20"/>
      <c r="D24" s="18" t="s">
        <v>445</v>
      </c>
      <c r="E24" s="34"/>
      <c r="F24" s="34"/>
      <c r="G24" s="34"/>
      <c r="H24" s="34"/>
      <c r="I24" s="34"/>
      <c r="J24" s="34"/>
      <c r="K24" s="34"/>
      <c r="L24" s="34"/>
      <c r="M24" s="34"/>
      <c r="N24" s="34"/>
      <c r="O24" s="34"/>
      <c r="P24" s="34"/>
      <c r="Q24" s="34"/>
      <c r="R24" s="34"/>
      <c r="S24" s="34"/>
      <c r="T24" s="34"/>
      <c r="U24" s="34"/>
      <c r="V24" s="34"/>
      <c r="W24" s="34"/>
      <c r="X24" s="34"/>
      <c r="Y24" s="34"/>
    </row>
    <row r="25" spans="1:25" ht="16.2" x14ac:dyDescent="0.35">
      <c r="A25" s="15"/>
      <c r="B25" s="14" t="s">
        <v>437</v>
      </c>
      <c r="C25" s="19"/>
      <c r="D25" s="16" t="s">
        <v>438</v>
      </c>
      <c r="E25" s="34"/>
      <c r="F25" s="34"/>
      <c r="G25" s="34"/>
      <c r="H25" s="34"/>
      <c r="I25" s="34"/>
      <c r="J25" s="34"/>
      <c r="K25" s="34"/>
      <c r="L25" s="34"/>
      <c r="M25" s="34"/>
      <c r="N25" s="34"/>
      <c r="O25" s="34"/>
      <c r="P25" s="34"/>
      <c r="Q25" s="34"/>
      <c r="R25" s="34"/>
      <c r="S25" s="34"/>
      <c r="T25" s="34"/>
      <c r="U25" s="34"/>
      <c r="V25" s="34"/>
      <c r="W25" s="34"/>
      <c r="X25" s="34"/>
      <c r="Y25" s="34"/>
    </row>
    <row r="26" spans="1:25" ht="16.2" x14ac:dyDescent="0.35">
      <c r="A26" s="15"/>
      <c r="B26" s="17" t="s">
        <v>439</v>
      </c>
      <c r="C26" s="20"/>
      <c r="D26" s="18" t="s">
        <v>446</v>
      </c>
      <c r="E26" s="34"/>
      <c r="F26" s="34"/>
      <c r="G26" s="34"/>
      <c r="H26" s="34"/>
      <c r="I26" s="34"/>
      <c r="J26" s="34"/>
      <c r="K26" s="34"/>
      <c r="L26" s="34"/>
      <c r="M26" s="34"/>
      <c r="N26" s="34"/>
      <c r="O26" s="34"/>
      <c r="P26" s="34"/>
      <c r="Q26" s="34"/>
      <c r="R26" s="34"/>
      <c r="S26" s="34"/>
      <c r="T26" s="34"/>
      <c r="U26" s="34"/>
      <c r="V26" s="34"/>
      <c r="W26" s="34"/>
      <c r="X26" s="34"/>
      <c r="Y26" s="34"/>
    </row>
    <row r="27" spans="1:25" ht="16.2" x14ac:dyDescent="0.35">
      <c r="A27" s="15"/>
      <c r="B27" s="14" t="s">
        <v>420</v>
      </c>
      <c r="C27" s="19"/>
      <c r="D27" s="16" t="s">
        <v>446</v>
      </c>
      <c r="E27" s="34"/>
      <c r="F27" s="34"/>
      <c r="G27" s="34"/>
      <c r="H27" s="34"/>
      <c r="I27" s="34"/>
      <c r="J27" s="34"/>
      <c r="K27" s="34"/>
      <c r="L27" s="34"/>
      <c r="M27" s="34"/>
      <c r="N27" s="34"/>
      <c r="O27" s="34"/>
      <c r="P27" s="34"/>
      <c r="Q27" s="34"/>
      <c r="R27" s="34"/>
      <c r="S27" s="34"/>
      <c r="T27" s="34"/>
      <c r="U27" s="34"/>
      <c r="V27" s="34"/>
      <c r="W27" s="34"/>
      <c r="X27" s="34"/>
      <c r="Y27" s="34"/>
    </row>
    <row r="28" spans="1:25" ht="16.2" x14ac:dyDescent="0.35">
      <c r="A28" s="15"/>
      <c r="B28" s="17" t="s">
        <v>409</v>
      </c>
      <c r="C28" s="20"/>
      <c r="D28" s="18" t="s">
        <v>447</v>
      </c>
      <c r="E28" s="34"/>
      <c r="F28" s="34"/>
      <c r="G28" s="34"/>
      <c r="H28" s="34"/>
      <c r="I28" s="34"/>
      <c r="J28" s="34"/>
      <c r="K28" s="34"/>
      <c r="L28" s="34"/>
      <c r="M28" s="34"/>
      <c r="N28" s="34"/>
      <c r="O28" s="34"/>
      <c r="P28" s="34"/>
      <c r="Q28" s="34"/>
      <c r="R28" s="34"/>
      <c r="S28" s="34"/>
      <c r="T28" s="34"/>
      <c r="U28" s="34"/>
      <c r="V28" s="34"/>
      <c r="W28" s="34"/>
      <c r="X28" s="34"/>
      <c r="Y28" s="34"/>
    </row>
    <row r="29" spans="1:25" ht="16.2" x14ac:dyDescent="0.35">
      <c r="A29" s="15"/>
      <c r="B29" s="14" t="s">
        <v>440</v>
      </c>
      <c r="C29" s="19"/>
      <c r="D29" s="16" t="s">
        <v>448</v>
      </c>
      <c r="E29" s="34"/>
      <c r="F29" s="34"/>
      <c r="G29" s="34"/>
      <c r="H29" s="34"/>
      <c r="I29" s="34"/>
      <c r="J29" s="34"/>
      <c r="K29" s="34"/>
      <c r="L29" s="34"/>
      <c r="M29" s="34"/>
      <c r="N29" s="34"/>
      <c r="O29" s="34"/>
      <c r="P29" s="34"/>
      <c r="Q29" s="34"/>
      <c r="R29" s="34"/>
      <c r="S29" s="34"/>
      <c r="T29" s="34"/>
      <c r="U29" s="34"/>
      <c r="V29" s="34"/>
      <c r="W29" s="34"/>
      <c r="X29" s="34"/>
      <c r="Y29" s="34"/>
    </row>
    <row r="30" spans="1:25" ht="16.2" x14ac:dyDescent="0.35">
      <c r="A30" s="15"/>
      <c r="B30" s="14" t="s">
        <v>441</v>
      </c>
      <c r="C30" s="19"/>
      <c r="D30" s="16" t="s">
        <v>442</v>
      </c>
      <c r="E30" s="34"/>
      <c r="F30" s="34"/>
      <c r="G30" s="34"/>
      <c r="H30" s="34"/>
      <c r="I30" s="34"/>
      <c r="J30" s="34"/>
      <c r="K30" s="34"/>
      <c r="L30" s="34"/>
      <c r="M30" s="34"/>
      <c r="N30" s="34"/>
      <c r="O30" s="34"/>
      <c r="P30" s="34"/>
      <c r="Q30" s="34"/>
      <c r="R30" s="34"/>
      <c r="S30" s="34"/>
      <c r="T30" s="34"/>
      <c r="U30" s="34"/>
      <c r="V30" s="34"/>
      <c r="W30" s="34"/>
      <c r="X30" s="34"/>
      <c r="Y30" s="34"/>
    </row>
    <row r="31" spans="1:25" ht="16.2" x14ac:dyDescent="0.35">
      <c r="A31" s="15"/>
      <c r="B31" s="17" t="s">
        <v>12</v>
      </c>
      <c r="C31" s="20"/>
      <c r="D31" s="18" t="s">
        <v>449</v>
      </c>
      <c r="E31" s="34"/>
      <c r="F31" s="34"/>
      <c r="G31" s="34"/>
      <c r="H31" s="34"/>
      <c r="I31" s="34"/>
      <c r="J31" s="34"/>
      <c r="K31" s="34"/>
      <c r="L31" s="34"/>
      <c r="M31" s="34"/>
      <c r="N31" s="34"/>
      <c r="O31" s="34"/>
      <c r="P31" s="34"/>
      <c r="Q31" s="34"/>
      <c r="R31" s="34"/>
      <c r="S31" s="34"/>
      <c r="T31" s="34"/>
      <c r="U31" s="34"/>
      <c r="V31" s="34"/>
      <c r="W31" s="34"/>
      <c r="X31" s="34"/>
      <c r="Y31" s="34"/>
    </row>
    <row r="32" spans="1:25" ht="16.2" x14ac:dyDescent="0.35">
      <c r="A32" s="15"/>
      <c r="B32" s="14" t="s">
        <v>433</v>
      </c>
      <c r="C32" s="19"/>
      <c r="D32" s="16" t="s">
        <v>450</v>
      </c>
      <c r="E32" s="34"/>
      <c r="F32" s="34"/>
      <c r="G32" s="34"/>
      <c r="H32" s="34"/>
      <c r="I32" s="34"/>
      <c r="J32" s="34"/>
      <c r="K32" s="34"/>
      <c r="L32" s="34"/>
      <c r="M32" s="34"/>
      <c r="N32" s="34"/>
      <c r="O32" s="34"/>
      <c r="P32" s="34"/>
      <c r="Q32" s="34"/>
      <c r="R32" s="34"/>
      <c r="S32" s="34"/>
      <c r="T32" s="34"/>
      <c r="U32" s="34"/>
      <c r="V32" s="34"/>
      <c r="W32" s="34"/>
      <c r="X32" s="34"/>
      <c r="Y32" s="34"/>
    </row>
    <row r="33" spans="1:25" ht="16.2" x14ac:dyDescent="0.35">
      <c r="A33" s="15"/>
      <c r="B33" s="17" t="s">
        <v>432</v>
      </c>
      <c r="C33" s="20"/>
      <c r="D33" s="18" t="s">
        <v>451</v>
      </c>
      <c r="E33" s="34"/>
      <c r="F33" s="34"/>
      <c r="G33" s="34"/>
      <c r="H33" s="34"/>
      <c r="I33" s="34"/>
      <c r="J33" s="34"/>
      <c r="K33" s="34"/>
      <c r="L33" s="34"/>
      <c r="M33" s="34"/>
      <c r="N33" s="34"/>
      <c r="O33" s="34"/>
      <c r="P33" s="34"/>
      <c r="Q33" s="34"/>
      <c r="R33" s="34"/>
      <c r="S33" s="34"/>
      <c r="T33" s="34"/>
      <c r="U33" s="34"/>
      <c r="V33" s="34"/>
      <c r="W33" s="34"/>
      <c r="X33" s="34"/>
      <c r="Y33" s="34"/>
    </row>
    <row r="34" spans="1:25" ht="16.8" thickBot="1" x14ac:dyDescent="0.4">
      <c r="A34" s="15"/>
      <c r="B34" s="24" t="s">
        <v>408</v>
      </c>
      <c r="C34" s="25"/>
      <c r="D34" s="26" t="s">
        <v>452</v>
      </c>
      <c r="E34" s="34"/>
      <c r="F34" s="34"/>
      <c r="G34" s="34"/>
      <c r="H34" s="34"/>
      <c r="I34" s="34"/>
      <c r="J34" s="34"/>
      <c r="K34" s="34"/>
      <c r="L34" s="34"/>
      <c r="M34" s="34"/>
      <c r="N34" s="34"/>
      <c r="O34" s="34"/>
      <c r="P34" s="34"/>
      <c r="Q34" s="34"/>
      <c r="R34" s="34"/>
      <c r="S34" s="34"/>
      <c r="T34" s="34"/>
      <c r="U34" s="34"/>
      <c r="V34" s="34"/>
      <c r="W34" s="34"/>
      <c r="X34" s="34"/>
      <c r="Y34" s="34"/>
    </row>
    <row r="35" spans="1:25" x14ac:dyDescent="0.3">
      <c r="A35" s="15"/>
      <c r="B35" s="33"/>
      <c r="C35" s="33"/>
      <c r="D35" s="33"/>
      <c r="E35" s="34"/>
      <c r="F35" s="34"/>
      <c r="G35" s="34"/>
      <c r="H35" s="34"/>
      <c r="I35" s="34"/>
      <c r="J35" s="34"/>
      <c r="K35" s="34"/>
      <c r="L35" s="34"/>
      <c r="M35" s="34"/>
      <c r="N35" s="34"/>
      <c r="O35" s="34"/>
      <c r="P35" s="34"/>
      <c r="Q35" s="34"/>
      <c r="R35" s="34"/>
      <c r="S35" s="34"/>
      <c r="T35" s="34"/>
      <c r="U35" s="34"/>
      <c r="V35" s="34"/>
      <c r="W35" s="34"/>
      <c r="X35" s="34"/>
      <c r="Y35" s="34"/>
    </row>
    <row r="36" spans="1:25" x14ac:dyDescent="0.3">
      <c r="A36" s="15"/>
      <c r="B36" s="29"/>
      <c r="C36" s="29"/>
      <c r="D36" s="29"/>
      <c r="E36" s="34"/>
      <c r="F36" s="34"/>
      <c r="G36" s="34"/>
      <c r="H36" s="34"/>
      <c r="I36" s="34"/>
      <c r="J36" s="34"/>
      <c r="K36" s="34"/>
      <c r="L36" s="34"/>
      <c r="M36" s="34"/>
      <c r="N36" s="34"/>
      <c r="O36" s="34"/>
      <c r="P36" s="34"/>
      <c r="Q36" s="34"/>
      <c r="R36" s="34"/>
      <c r="S36" s="34"/>
      <c r="T36" s="34"/>
      <c r="U36" s="34"/>
      <c r="V36" s="34"/>
      <c r="W36" s="34"/>
      <c r="X36" s="34"/>
      <c r="Y36" s="34"/>
    </row>
    <row r="37" spans="1:25" x14ac:dyDescent="0.3">
      <c r="A37" s="15"/>
      <c r="B37" s="29"/>
      <c r="C37" s="29"/>
      <c r="D37" s="29"/>
      <c r="E37" s="34"/>
      <c r="F37" s="34"/>
      <c r="G37" s="34"/>
      <c r="H37" s="34"/>
      <c r="I37" s="34"/>
      <c r="J37" s="34"/>
      <c r="K37" s="34"/>
      <c r="L37" s="34"/>
      <c r="M37" s="34"/>
      <c r="N37" s="34"/>
      <c r="O37" s="34"/>
      <c r="P37" s="34"/>
      <c r="Q37" s="34"/>
      <c r="R37" s="34"/>
      <c r="S37" s="34"/>
      <c r="T37" s="34"/>
      <c r="U37" s="34"/>
      <c r="V37" s="34"/>
      <c r="W37" s="34"/>
      <c r="X37" s="34"/>
      <c r="Y37" s="34"/>
    </row>
    <row r="38" spans="1:25" x14ac:dyDescent="0.3">
      <c r="A38" s="15"/>
      <c r="B38" s="29"/>
      <c r="C38" s="29"/>
      <c r="D38" s="29"/>
      <c r="E38" s="34"/>
      <c r="F38" s="34"/>
      <c r="G38" s="34"/>
      <c r="H38" s="34"/>
      <c r="I38" s="34"/>
      <c r="J38" s="34"/>
      <c r="K38" s="34"/>
      <c r="L38" s="34"/>
      <c r="M38" s="34"/>
      <c r="N38" s="34"/>
      <c r="O38" s="34"/>
      <c r="P38" s="34"/>
      <c r="Q38" s="34"/>
      <c r="R38" s="34"/>
      <c r="S38" s="34"/>
      <c r="T38" s="34"/>
      <c r="U38" s="34"/>
      <c r="V38" s="34"/>
      <c r="W38" s="34"/>
      <c r="X38" s="34"/>
      <c r="Y38" s="34"/>
    </row>
    <row r="39" spans="1:25" x14ac:dyDescent="0.3">
      <c r="A39" s="29"/>
      <c r="B39" s="29"/>
      <c r="C39" s="29"/>
      <c r="D39" s="29"/>
      <c r="E39" s="34"/>
      <c r="F39" s="34"/>
      <c r="G39" s="34"/>
      <c r="H39" s="34"/>
      <c r="I39" s="34"/>
      <c r="J39" s="34"/>
      <c r="K39" s="34"/>
      <c r="L39" s="34"/>
      <c r="M39" s="34"/>
      <c r="N39" s="34"/>
      <c r="O39" s="34"/>
      <c r="P39" s="34"/>
      <c r="Q39" s="34"/>
      <c r="R39" s="34"/>
      <c r="S39" s="34"/>
      <c r="T39" s="34"/>
      <c r="U39" s="34"/>
      <c r="V39" s="34"/>
      <c r="W39" s="34"/>
      <c r="X39" s="34"/>
      <c r="Y39" s="34"/>
    </row>
    <row r="40" spans="1:25" x14ac:dyDescent="0.3">
      <c r="A40" s="29"/>
      <c r="B40" s="29"/>
      <c r="C40" s="29"/>
      <c r="D40" s="29"/>
      <c r="E40" s="34"/>
      <c r="F40" s="34"/>
      <c r="G40" s="34"/>
      <c r="H40" s="34"/>
      <c r="I40" s="34"/>
      <c r="J40" s="34"/>
      <c r="K40" s="34"/>
      <c r="L40" s="34"/>
      <c r="M40" s="34"/>
      <c r="N40" s="34"/>
      <c r="O40" s="34"/>
      <c r="P40" s="34"/>
      <c r="Q40" s="34"/>
      <c r="R40" s="34"/>
      <c r="S40" s="34"/>
      <c r="T40" s="34"/>
      <c r="U40" s="34"/>
      <c r="V40" s="34"/>
      <c r="W40" s="34"/>
      <c r="X40" s="34"/>
      <c r="Y40" s="34"/>
    </row>
    <row r="41" spans="1:25" x14ac:dyDescent="0.3">
      <c r="A41" s="29"/>
      <c r="B41" s="29"/>
      <c r="C41" s="29"/>
      <c r="D41" s="29"/>
      <c r="E41" s="34"/>
      <c r="F41" s="34"/>
      <c r="G41" s="34"/>
      <c r="H41" s="34"/>
      <c r="I41" s="34"/>
      <c r="J41" s="34"/>
      <c r="K41" s="34"/>
      <c r="L41" s="34"/>
      <c r="M41" s="34"/>
      <c r="N41" s="34"/>
      <c r="O41" s="34"/>
      <c r="P41" s="34"/>
      <c r="Q41" s="34"/>
      <c r="R41" s="34"/>
      <c r="S41" s="34"/>
      <c r="T41" s="34"/>
      <c r="U41" s="34"/>
      <c r="V41" s="34"/>
      <c r="W41" s="34"/>
      <c r="X41" s="34"/>
      <c r="Y41" s="34"/>
    </row>
    <row r="42" spans="1:25" x14ac:dyDescent="0.3">
      <c r="A42" s="29"/>
      <c r="B42" s="29"/>
      <c r="C42" s="29"/>
      <c r="D42" s="29"/>
      <c r="E42" s="34"/>
      <c r="F42" s="34"/>
      <c r="G42" s="34"/>
      <c r="H42" s="34"/>
      <c r="I42" s="34"/>
      <c r="J42" s="34"/>
      <c r="K42" s="34"/>
      <c r="L42" s="34"/>
      <c r="M42" s="34"/>
      <c r="N42" s="34"/>
      <c r="O42" s="34"/>
      <c r="P42" s="34"/>
      <c r="Q42" s="34"/>
      <c r="R42" s="34"/>
      <c r="S42" s="34"/>
      <c r="T42" s="34"/>
      <c r="U42" s="34"/>
      <c r="V42" s="34"/>
      <c r="W42" s="34"/>
      <c r="X42" s="34"/>
      <c r="Y42" s="34"/>
    </row>
    <row r="43" spans="1:25" x14ac:dyDescent="0.3">
      <c r="A43" s="29"/>
      <c r="B43" s="29"/>
      <c r="C43" s="29"/>
      <c r="D43" s="29"/>
      <c r="E43" s="34"/>
      <c r="F43" s="34"/>
      <c r="G43" s="34"/>
      <c r="H43" s="34"/>
      <c r="I43" s="34"/>
      <c r="J43" s="34"/>
      <c r="K43" s="34"/>
      <c r="L43" s="34"/>
      <c r="M43" s="34"/>
      <c r="N43" s="34"/>
      <c r="O43" s="34"/>
      <c r="P43" s="34"/>
      <c r="Q43" s="34"/>
      <c r="R43" s="34"/>
      <c r="S43" s="34"/>
      <c r="T43" s="34"/>
      <c r="U43" s="34"/>
      <c r="V43" s="34"/>
      <c r="W43" s="34"/>
      <c r="X43" s="34"/>
      <c r="Y43" s="34"/>
    </row>
    <row r="44" spans="1:25" x14ac:dyDescent="0.3">
      <c r="A44" s="29"/>
      <c r="B44" s="29"/>
      <c r="C44" s="29"/>
      <c r="D44" s="29"/>
      <c r="E44" s="34"/>
      <c r="F44" s="34"/>
      <c r="G44" s="34"/>
      <c r="H44" s="34"/>
      <c r="I44" s="34"/>
      <c r="J44" s="34"/>
      <c r="K44" s="34"/>
      <c r="L44" s="34"/>
      <c r="M44" s="34"/>
      <c r="N44" s="34"/>
      <c r="O44" s="34"/>
      <c r="P44" s="34"/>
      <c r="Q44" s="34"/>
      <c r="R44" s="34"/>
      <c r="S44" s="34"/>
      <c r="T44" s="34"/>
      <c r="U44" s="34"/>
      <c r="V44" s="34"/>
      <c r="W44" s="34"/>
      <c r="X44" s="34"/>
      <c r="Y44" s="34"/>
    </row>
    <row r="45" spans="1:25" x14ac:dyDescent="0.3">
      <c r="A45" s="29"/>
      <c r="B45" s="29"/>
      <c r="C45" s="29"/>
      <c r="D45" s="29"/>
      <c r="E45" s="34"/>
      <c r="F45" s="34"/>
      <c r="G45" s="34"/>
      <c r="H45" s="34"/>
      <c r="I45" s="34"/>
      <c r="J45" s="34"/>
      <c r="K45" s="34"/>
      <c r="L45" s="34"/>
      <c r="M45" s="34"/>
      <c r="N45" s="34"/>
      <c r="O45" s="34"/>
      <c r="P45" s="34"/>
      <c r="Q45" s="34"/>
      <c r="R45" s="34"/>
      <c r="S45" s="34"/>
      <c r="T45" s="34"/>
      <c r="U45" s="34"/>
      <c r="V45" s="34"/>
      <c r="W45" s="34"/>
      <c r="X45" s="34"/>
      <c r="Y45" s="34"/>
    </row>
    <row r="46" spans="1:25" x14ac:dyDescent="0.3">
      <c r="A46" s="29"/>
      <c r="B46" s="29"/>
      <c r="C46" s="29"/>
      <c r="D46" s="29"/>
      <c r="E46" s="34"/>
      <c r="F46" s="34"/>
      <c r="G46" s="34"/>
      <c r="H46" s="34"/>
      <c r="I46" s="34"/>
      <c r="J46" s="34"/>
      <c r="K46" s="34"/>
      <c r="L46" s="34"/>
      <c r="M46" s="34"/>
      <c r="N46" s="34"/>
      <c r="O46" s="34"/>
      <c r="P46" s="34"/>
      <c r="Q46" s="34"/>
      <c r="R46" s="34"/>
      <c r="S46" s="34"/>
      <c r="T46" s="34"/>
      <c r="U46" s="34"/>
      <c r="V46" s="34"/>
      <c r="W46" s="34"/>
      <c r="X46" s="34"/>
      <c r="Y46" s="34"/>
    </row>
    <row r="47" spans="1:25" x14ac:dyDescent="0.3">
      <c r="A47" s="29"/>
      <c r="B47" s="29"/>
      <c r="C47" s="29"/>
      <c r="D47" s="29"/>
      <c r="E47" s="34"/>
      <c r="F47" s="34"/>
      <c r="G47" s="34"/>
      <c r="H47" s="34"/>
      <c r="I47" s="34"/>
      <c r="J47" s="34"/>
      <c r="K47" s="34"/>
      <c r="L47" s="34"/>
      <c r="M47" s="34"/>
      <c r="N47" s="34"/>
      <c r="O47" s="34"/>
      <c r="P47" s="34"/>
      <c r="Q47" s="34"/>
      <c r="R47" s="34"/>
      <c r="S47" s="34"/>
      <c r="T47" s="34"/>
      <c r="U47" s="34"/>
      <c r="V47" s="34"/>
      <c r="W47" s="34"/>
      <c r="X47" s="34"/>
      <c r="Y47" s="34"/>
    </row>
    <row r="48" spans="1:25" x14ac:dyDescent="0.3">
      <c r="A48" s="29"/>
      <c r="B48" s="29"/>
      <c r="C48" s="29"/>
      <c r="D48" s="29"/>
      <c r="E48" s="34"/>
      <c r="F48" s="34"/>
      <c r="G48" s="34"/>
      <c r="H48" s="34"/>
      <c r="I48" s="34"/>
      <c r="J48" s="34"/>
      <c r="K48" s="34"/>
      <c r="L48" s="34"/>
      <c r="M48" s="34"/>
      <c r="N48" s="34"/>
      <c r="O48" s="34"/>
      <c r="P48" s="34"/>
      <c r="Q48" s="34"/>
      <c r="R48" s="34"/>
      <c r="S48" s="34"/>
      <c r="T48" s="34"/>
      <c r="U48" s="34"/>
      <c r="V48" s="34"/>
      <c r="W48" s="34"/>
      <c r="X48" s="34"/>
      <c r="Y48" s="34"/>
    </row>
    <row r="49" spans="1:25" x14ac:dyDescent="0.3">
      <c r="A49" s="29"/>
      <c r="B49" s="29"/>
      <c r="C49" s="29"/>
      <c r="D49" s="29"/>
      <c r="E49" s="34"/>
      <c r="F49" s="34"/>
      <c r="G49" s="34"/>
      <c r="H49" s="34"/>
      <c r="I49" s="34"/>
      <c r="J49" s="34"/>
      <c r="K49" s="34"/>
      <c r="L49" s="34"/>
      <c r="M49" s="34"/>
      <c r="N49" s="34"/>
      <c r="O49" s="34"/>
      <c r="P49" s="34"/>
      <c r="Q49" s="34"/>
      <c r="R49" s="34"/>
      <c r="S49" s="34"/>
      <c r="T49" s="34"/>
      <c r="U49" s="34"/>
      <c r="V49" s="34"/>
      <c r="W49" s="34"/>
      <c r="X49" s="34"/>
      <c r="Y49" s="34"/>
    </row>
    <row r="50" spans="1:25" x14ac:dyDescent="0.3">
      <c r="A50" s="29"/>
      <c r="B50" s="29"/>
      <c r="C50" s="29"/>
      <c r="D50" s="29"/>
      <c r="E50" s="34"/>
      <c r="F50" s="34"/>
      <c r="G50" s="34"/>
      <c r="H50" s="34"/>
      <c r="I50" s="34"/>
      <c r="J50" s="34"/>
      <c r="K50" s="34"/>
      <c r="L50" s="34"/>
      <c r="M50" s="34"/>
      <c r="N50" s="34"/>
      <c r="O50" s="34"/>
      <c r="P50" s="34"/>
      <c r="Q50" s="34"/>
      <c r="R50" s="34"/>
      <c r="S50" s="34"/>
      <c r="T50" s="34"/>
      <c r="U50" s="34"/>
      <c r="V50" s="34"/>
      <c r="W50" s="34"/>
      <c r="X50" s="34"/>
      <c r="Y50" s="34"/>
    </row>
    <row r="51" spans="1:25" x14ac:dyDescent="0.3">
      <c r="A51" s="29"/>
      <c r="B51" s="29"/>
      <c r="C51" s="29"/>
      <c r="D51" s="29"/>
      <c r="E51" s="34"/>
      <c r="F51" s="34"/>
      <c r="G51" s="34"/>
      <c r="H51" s="34"/>
      <c r="I51" s="34"/>
      <c r="J51" s="34"/>
      <c r="K51" s="34"/>
      <c r="L51" s="34"/>
      <c r="M51" s="34"/>
      <c r="N51" s="34"/>
      <c r="O51" s="34"/>
      <c r="P51" s="34"/>
      <c r="Q51" s="34"/>
      <c r="R51" s="34"/>
      <c r="S51" s="34"/>
      <c r="T51" s="34"/>
      <c r="U51" s="34"/>
      <c r="V51" s="34"/>
      <c r="W51" s="34"/>
      <c r="X51" s="34"/>
      <c r="Y51" s="34"/>
    </row>
    <row r="52" spans="1:25" x14ac:dyDescent="0.3">
      <c r="A52" s="29"/>
      <c r="B52" s="29"/>
      <c r="C52" s="29"/>
      <c r="D52" s="29"/>
      <c r="E52" s="34"/>
      <c r="F52" s="34"/>
      <c r="G52" s="34"/>
      <c r="H52" s="34"/>
      <c r="I52" s="34"/>
      <c r="J52" s="34"/>
      <c r="K52" s="34"/>
      <c r="L52" s="34"/>
      <c r="M52" s="34"/>
      <c r="N52" s="34"/>
      <c r="O52" s="34"/>
      <c r="P52" s="34"/>
      <c r="Q52" s="34"/>
      <c r="R52" s="34"/>
      <c r="S52" s="34"/>
      <c r="T52" s="34"/>
      <c r="U52" s="34"/>
      <c r="V52" s="34"/>
      <c r="W52" s="34"/>
      <c r="X52" s="34"/>
      <c r="Y52" s="34"/>
    </row>
    <row r="53" spans="1:25" x14ac:dyDescent="0.3">
      <c r="A53" s="29"/>
      <c r="B53" s="29"/>
      <c r="C53" s="29"/>
      <c r="D53" s="29"/>
      <c r="E53" s="34"/>
      <c r="F53" s="34"/>
      <c r="G53" s="34"/>
      <c r="H53" s="34"/>
      <c r="I53" s="34"/>
      <c r="J53" s="34"/>
      <c r="K53" s="34"/>
      <c r="L53" s="34"/>
      <c r="M53" s="34"/>
      <c r="N53" s="34"/>
      <c r="O53" s="34"/>
      <c r="P53" s="34"/>
      <c r="Q53" s="34"/>
      <c r="R53" s="34"/>
      <c r="S53" s="34"/>
      <c r="T53" s="34"/>
      <c r="U53" s="34"/>
      <c r="V53" s="34"/>
      <c r="W53" s="34"/>
      <c r="X53" s="34"/>
      <c r="Y53" s="34"/>
    </row>
    <row r="54" spans="1:25" x14ac:dyDescent="0.3">
      <c r="A54" s="29"/>
      <c r="B54" s="27" t="s">
        <v>435</v>
      </c>
      <c r="C54" s="29"/>
      <c r="D54" s="28">
        <v>8</v>
      </c>
      <c r="E54" s="34"/>
      <c r="F54" s="34"/>
      <c r="G54" s="34"/>
      <c r="H54" s="34"/>
      <c r="I54" s="34"/>
      <c r="J54" s="34"/>
      <c r="K54" s="34"/>
      <c r="L54" s="34"/>
      <c r="M54" s="34"/>
      <c r="N54" s="34"/>
      <c r="O54" s="34"/>
      <c r="P54" s="34"/>
      <c r="Q54" s="34"/>
      <c r="R54" s="34"/>
      <c r="S54" s="34"/>
      <c r="T54" s="34"/>
      <c r="U54" s="34"/>
      <c r="V54" s="34"/>
      <c r="W54" s="34"/>
      <c r="X54" s="34"/>
      <c r="Y54" s="34"/>
    </row>
    <row r="55" spans="1:25" x14ac:dyDescent="0.3">
      <c r="A55" s="29"/>
      <c r="B55" s="29"/>
      <c r="C55" s="29"/>
      <c r="D55" s="29"/>
      <c r="E55" s="34"/>
      <c r="F55" s="34"/>
      <c r="G55" s="34"/>
      <c r="H55" s="34"/>
      <c r="I55" s="34"/>
      <c r="J55" s="34"/>
      <c r="K55" s="34"/>
      <c r="L55" s="34"/>
      <c r="M55" s="34"/>
      <c r="N55" s="34"/>
      <c r="O55" s="34"/>
      <c r="P55" s="34"/>
      <c r="Q55" s="34"/>
      <c r="R55" s="34"/>
      <c r="S55" s="34"/>
      <c r="T55" s="34"/>
      <c r="U55" s="34"/>
      <c r="V55" s="34"/>
      <c r="W55" s="34"/>
      <c r="X55" s="34"/>
      <c r="Y55" s="34"/>
    </row>
    <row r="56" spans="1:25" x14ac:dyDescent="0.3">
      <c r="A56" s="29"/>
      <c r="B56" s="29"/>
      <c r="C56" s="29"/>
      <c r="D56" s="29"/>
      <c r="E56" s="34"/>
      <c r="F56" s="34"/>
      <c r="G56" s="34"/>
      <c r="H56" s="34"/>
      <c r="I56" s="34"/>
      <c r="J56" s="34"/>
      <c r="K56" s="34"/>
      <c r="L56" s="34"/>
      <c r="M56" s="34"/>
      <c r="N56" s="34"/>
      <c r="O56" s="34"/>
      <c r="P56" s="34"/>
      <c r="Q56" s="34"/>
      <c r="R56" s="34"/>
      <c r="S56" s="34"/>
      <c r="T56" s="34"/>
      <c r="U56" s="34"/>
      <c r="V56" s="34"/>
      <c r="W56" s="34"/>
      <c r="X56" s="34"/>
      <c r="Y56" s="34"/>
    </row>
    <row r="57" spans="1:25" x14ac:dyDescent="0.3">
      <c r="A57" s="29"/>
      <c r="B57" s="29"/>
      <c r="C57" s="29"/>
      <c r="D57" s="29"/>
      <c r="E57" s="34"/>
      <c r="F57" s="34"/>
      <c r="G57" s="34"/>
      <c r="H57" s="34"/>
      <c r="I57" s="34"/>
      <c r="J57" s="34"/>
      <c r="K57" s="34"/>
      <c r="L57" s="34"/>
      <c r="M57" s="34"/>
      <c r="N57" s="34"/>
      <c r="O57" s="34"/>
      <c r="P57" s="34"/>
      <c r="Q57" s="34"/>
      <c r="R57" s="34"/>
      <c r="S57" s="34"/>
      <c r="T57" s="34"/>
      <c r="U57" s="34"/>
      <c r="V57" s="34"/>
      <c r="W57" s="34"/>
      <c r="X57" s="34"/>
      <c r="Y57" s="34"/>
    </row>
    <row r="58" spans="1:25" x14ac:dyDescent="0.3">
      <c r="A58" s="29"/>
      <c r="B58" s="29"/>
      <c r="C58" s="29"/>
      <c r="D58" s="29"/>
      <c r="E58" s="34"/>
      <c r="F58" s="34"/>
      <c r="G58" s="34"/>
      <c r="H58" s="34"/>
      <c r="I58" s="34"/>
      <c r="J58" s="34"/>
      <c r="K58" s="34"/>
      <c r="L58" s="34"/>
      <c r="M58" s="34"/>
      <c r="N58" s="34"/>
      <c r="O58" s="34"/>
      <c r="P58" s="34"/>
      <c r="Q58" s="34"/>
      <c r="R58" s="34"/>
      <c r="S58" s="34"/>
      <c r="T58" s="34"/>
      <c r="U58" s="34"/>
      <c r="V58" s="34"/>
      <c r="W58" s="34"/>
      <c r="X58" s="34"/>
      <c r="Y58" s="34"/>
    </row>
    <row r="59" spans="1:25" x14ac:dyDescent="0.3">
      <c r="A59" s="29"/>
      <c r="B59" s="29"/>
      <c r="C59" s="29"/>
      <c r="D59" s="29"/>
      <c r="E59" s="34"/>
      <c r="F59" s="34"/>
      <c r="G59" s="34"/>
      <c r="H59" s="34"/>
      <c r="I59" s="34"/>
      <c r="J59" s="34"/>
      <c r="K59" s="34"/>
      <c r="L59" s="34"/>
      <c r="M59" s="34"/>
      <c r="N59" s="34"/>
      <c r="O59" s="34"/>
      <c r="P59" s="34"/>
      <c r="Q59" s="34"/>
      <c r="R59" s="34"/>
      <c r="S59" s="34"/>
      <c r="T59" s="34"/>
      <c r="U59" s="34"/>
      <c r="V59" s="34"/>
      <c r="W59" s="34"/>
      <c r="X59" s="34"/>
      <c r="Y59" s="34"/>
    </row>
    <row r="60" spans="1:25" x14ac:dyDescent="0.3">
      <c r="A60" s="29"/>
      <c r="B60" s="29"/>
      <c r="C60" s="29"/>
      <c r="D60" s="29"/>
      <c r="E60" s="34"/>
      <c r="F60" s="34"/>
      <c r="G60" s="34"/>
      <c r="H60" s="34"/>
      <c r="I60" s="34"/>
      <c r="J60" s="34"/>
      <c r="K60" s="34"/>
      <c r="L60" s="34"/>
      <c r="M60" s="34"/>
      <c r="N60" s="34"/>
      <c r="O60" s="34"/>
      <c r="P60" s="34"/>
      <c r="Q60" s="34"/>
      <c r="R60" s="34"/>
      <c r="S60" s="34"/>
      <c r="T60" s="34"/>
      <c r="U60" s="34"/>
      <c r="V60" s="34"/>
      <c r="W60" s="34"/>
      <c r="X60" s="34"/>
      <c r="Y60" s="34"/>
    </row>
    <row r="61" spans="1:25" x14ac:dyDescent="0.3">
      <c r="A61" s="29"/>
      <c r="B61" s="29"/>
      <c r="C61" s="29"/>
      <c r="D61" s="29"/>
      <c r="E61" s="34"/>
      <c r="F61" s="34"/>
      <c r="G61" s="34"/>
      <c r="H61" s="34"/>
      <c r="I61" s="34"/>
      <c r="J61" s="34"/>
      <c r="K61" s="34"/>
      <c r="L61" s="34"/>
      <c r="M61" s="34"/>
      <c r="N61" s="34"/>
      <c r="O61" s="34"/>
      <c r="P61" s="34"/>
      <c r="Q61" s="34"/>
      <c r="R61" s="34"/>
      <c r="S61" s="34"/>
      <c r="T61" s="34"/>
      <c r="U61" s="34"/>
      <c r="V61" s="34"/>
      <c r="W61" s="34"/>
      <c r="X61" s="34"/>
      <c r="Y61" s="34"/>
    </row>
    <row r="62" spans="1:25" x14ac:dyDescent="0.3">
      <c r="A62" s="29"/>
      <c r="B62" s="29"/>
      <c r="C62" s="29"/>
      <c r="D62" s="29"/>
      <c r="E62" s="34"/>
      <c r="F62" s="34"/>
      <c r="G62" s="34"/>
      <c r="H62" s="34"/>
      <c r="I62" s="34"/>
      <c r="J62" s="34"/>
      <c r="K62" s="34"/>
      <c r="L62" s="34"/>
      <c r="M62" s="34"/>
      <c r="N62" s="34"/>
      <c r="O62" s="34"/>
      <c r="P62" s="34"/>
      <c r="Q62" s="34"/>
      <c r="R62" s="34"/>
      <c r="S62" s="34"/>
      <c r="T62" s="34"/>
      <c r="U62" s="34"/>
      <c r="V62" s="34"/>
      <c r="W62" s="34"/>
      <c r="X62" s="34"/>
      <c r="Y62" s="34"/>
    </row>
    <row r="63" spans="1:25" x14ac:dyDescent="0.3">
      <c r="A63" s="29"/>
      <c r="B63" s="29"/>
      <c r="C63" s="29"/>
      <c r="D63" s="29"/>
      <c r="E63" s="34"/>
      <c r="F63" s="34"/>
      <c r="G63" s="34"/>
      <c r="H63" s="34"/>
      <c r="I63" s="34"/>
      <c r="J63" s="34"/>
      <c r="K63" s="34"/>
      <c r="L63" s="34"/>
      <c r="M63" s="34"/>
      <c r="N63" s="34"/>
      <c r="O63" s="34"/>
      <c r="P63" s="34"/>
      <c r="Q63" s="34"/>
      <c r="R63" s="34"/>
      <c r="S63" s="34"/>
      <c r="T63" s="34"/>
      <c r="U63" s="34"/>
      <c r="V63" s="34"/>
      <c r="W63" s="34"/>
      <c r="X63" s="34"/>
      <c r="Y63" s="34"/>
    </row>
    <row r="64" spans="1:25" x14ac:dyDescent="0.3">
      <c r="A64" s="29"/>
      <c r="B64" s="29"/>
      <c r="C64" s="29"/>
      <c r="D64" s="29"/>
      <c r="E64" s="34"/>
      <c r="F64" s="34"/>
      <c r="G64" s="34"/>
      <c r="H64" s="34"/>
      <c r="I64" s="34"/>
      <c r="J64" s="34"/>
      <c r="K64" s="34"/>
      <c r="L64" s="34"/>
      <c r="M64" s="34"/>
      <c r="N64" s="34"/>
      <c r="O64" s="34"/>
      <c r="P64" s="34"/>
      <c r="Q64" s="34"/>
      <c r="R64" s="34"/>
      <c r="S64" s="34"/>
      <c r="T64" s="34"/>
      <c r="U64" s="34"/>
      <c r="V64" s="34"/>
      <c r="W64" s="34"/>
      <c r="X64" s="34"/>
      <c r="Y64" s="34"/>
    </row>
    <row r="65" spans="1:25" x14ac:dyDescent="0.3">
      <c r="A65" s="29"/>
      <c r="B65" s="29"/>
      <c r="C65" s="29"/>
      <c r="D65" s="29"/>
      <c r="E65" s="34"/>
      <c r="F65" s="34"/>
      <c r="G65" s="34"/>
      <c r="H65" s="34"/>
      <c r="I65" s="34"/>
      <c r="J65" s="34"/>
      <c r="K65" s="34"/>
      <c r="L65" s="34"/>
      <c r="M65" s="34"/>
      <c r="N65" s="34"/>
      <c r="O65" s="34"/>
      <c r="P65" s="34"/>
      <c r="Q65" s="34"/>
      <c r="R65" s="34"/>
      <c r="S65" s="34"/>
      <c r="T65" s="34"/>
      <c r="U65" s="34"/>
      <c r="V65" s="34"/>
      <c r="W65" s="34"/>
      <c r="X65" s="34"/>
      <c r="Y65" s="34"/>
    </row>
    <row r="66" spans="1:25" x14ac:dyDescent="0.3">
      <c r="A66" s="29"/>
      <c r="B66" s="29"/>
      <c r="C66" s="29"/>
      <c r="D66" s="29"/>
      <c r="E66" s="34"/>
      <c r="F66" s="34"/>
      <c r="G66" s="34"/>
      <c r="H66" s="34"/>
      <c r="I66" s="34"/>
      <c r="J66" s="34"/>
      <c r="K66" s="34"/>
      <c r="L66" s="34"/>
      <c r="M66" s="34"/>
      <c r="N66" s="34"/>
      <c r="O66" s="34"/>
      <c r="P66" s="34"/>
      <c r="Q66" s="34"/>
      <c r="R66" s="34"/>
      <c r="S66" s="34"/>
      <c r="T66" s="34"/>
      <c r="U66" s="34"/>
      <c r="V66" s="34"/>
      <c r="W66" s="34"/>
      <c r="X66" s="34"/>
      <c r="Y66" s="34"/>
    </row>
    <row r="67" spans="1:25" x14ac:dyDescent="0.3">
      <c r="A67" s="29"/>
      <c r="B67" s="29"/>
      <c r="C67" s="29"/>
      <c r="D67" s="29"/>
      <c r="E67" s="34"/>
      <c r="F67" s="34"/>
      <c r="G67" s="34"/>
      <c r="H67" s="34"/>
      <c r="I67" s="34"/>
      <c r="J67" s="34"/>
      <c r="K67" s="34"/>
      <c r="L67" s="34"/>
      <c r="M67" s="34"/>
      <c r="N67" s="34"/>
      <c r="O67" s="34"/>
      <c r="P67" s="34"/>
      <c r="Q67" s="34"/>
      <c r="R67" s="34"/>
      <c r="S67" s="34"/>
      <c r="T67" s="34"/>
      <c r="U67" s="34"/>
      <c r="V67" s="34"/>
      <c r="W67" s="34"/>
      <c r="X67" s="34"/>
      <c r="Y67" s="34"/>
    </row>
    <row r="68" spans="1:25" x14ac:dyDescent="0.3">
      <c r="A68" s="29"/>
      <c r="B68" s="29"/>
      <c r="C68" s="29"/>
      <c r="D68" s="29"/>
      <c r="E68" s="34"/>
      <c r="F68" s="34"/>
      <c r="G68" s="34"/>
      <c r="H68" s="34"/>
      <c r="I68" s="34"/>
      <c r="J68" s="34"/>
      <c r="K68" s="34"/>
      <c r="L68" s="34"/>
      <c r="M68" s="34"/>
      <c r="N68" s="34"/>
      <c r="O68" s="34"/>
      <c r="P68" s="34"/>
      <c r="Q68" s="34"/>
      <c r="R68" s="34"/>
      <c r="S68" s="34"/>
      <c r="T68" s="34"/>
      <c r="U68" s="34"/>
      <c r="V68" s="34"/>
      <c r="W68" s="34"/>
      <c r="X68" s="34"/>
      <c r="Y68" s="34"/>
    </row>
    <row r="69" spans="1:25" x14ac:dyDescent="0.3">
      <c r="A69" s="29"/>
      <c r="B69" s="29"/>
      <c r="C69" s="29"/>
      <c r="D69" s="29"/>
      <c r="E69" s="34"/>
      <c r="F69" s="34"/>
      <c r="G69" s="34"/>
      <c r="H69" s="34"/>
      <c r="I69" s="34"/>
      <c r="J69" s="34"/>
      <c r="K69" s="34"/>
      <c r="L69" s="34"/>
      <c r="M69" s="34"/>
      <c r="N69" s="34"/>
      <c r="O69" s="34"/>
      <c r="P69" s="34"/>
      <c r="Q69" s="34"/>
      <c r="R69" s="34"/>
      <c r="S69" s="34"/>
      <c r="T69" s="34"/>
      <c r="U69" s="34"/>
      <c r="V69" s="34"/>
      <c r="W69" s="34"/>
      <c r="X69" s="34"/>
      <c r="Y69" s="34"/>
    </row>
    <row r="70" spans="1:25" x14ac:dyDescent="0.3">
      <c r="A70" s="29"/>
      <c r="B70" s="29"/>
      <c r="C70" s="29"/>
      <c r="D70" s="29"/>
      <c r="E70" s="34"/>
      <c r="F70" s="34"/>
      <c r="G70" s="34"/>
      <c r="H70" s="34"/>
      <c r="I70" s="34"/>
      <c r="J70" s="34"/>
      <c r="K70" s="34"/>
      <c r="L70" s="34"/>
      <c r="M70" s="34"/>
      <c r="N70" s="34"/>
      <c r="O70" s="34"/>
      <c r="P70" s="34"/>
      <c r="Q70" s="34"/>
      <c r="R70" s="34"/>
      <c r="S70" s="34"/>
      <c r="T70" s="34"/>
      <c r="U70" s="34"/>
      <c r="V70" s="34"/>
      <c r="W70" s="34"/>
      <c r="X70" s="34"/>
      <c r="Y70" s="34"/>
    </row>
    <row r="71" spans="1:25" x14ac:dyDescent="0.3">
      <c r="A71" s="29"/>
      <c r="B71" s="29"/>
      <c r="C71" s="29"/>
      <c r="D71" s="29"/>
      <c r="E71" s="34"/>
      <c r="F71" s="34"/>
      <c r="G71" s="34"/>
      <c r="H71" s="34"/>
      <c r="I71" s="34"/>
      <c r="J71" s="34"/>
      <c r="K71" s="34"/>
      <c r="L71" s="34"/>
      <c r="M71" s="34"/>
      <c r="N71" s="34"/>
      <c r="O71" s="34"/>
      <c r="P71" s="34"/>
      <c r="Q71" s="34"/>
      <c r="R71" s="34"/>
      <c r="S71" s="34"/>
      <c r="T71" s="34"/>
      <c r="U71" s="34"/>
      <c r="V71" s="34"/>
      <c r="W71" s="34"/>
      <c r="X71" s="34"/>
      <c r="Y71" s="34"/>
    </row>
  </sheetData>
  <mergeCells count="4">
    <mergeCell ref="E1:Y71"/>
    <mergeCell ref="B8:D8"/>
    <mergeCell ref="B9:D9"/>
    <mergeCell ref="B20:D20"/>
  </mergeCells>
  <dataValidations count="2">
    <dataValidation type="list" allowBlank="1" showInputMessage="1" showErrorMessage="1" sqref="B6" xr:uid="{5BB82104-64C5-4F13-A73C-08BB27BF5AC7}">
      <formula1>Categories</formula1>
    </dataValidation>
    <dataValidation type="list" allowBlank="1" showInputMessage="1" showErrorMessage="1" sqref="D6" xr:uid="{B1AD604B-CCC5-48B0-8529-564957FF34C7}">
      <formula1>INDIRECT($B$6)</formula1>
    </dataValidation>
  </dataValidation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CA4B9-F652-4E0C-834A-297043DDE94E}">
  <dimension ref="A2:J97"/>
  <sheetViews>
    <sheetView workbookViewId="0">
      <selection activeCell="E18" sqref="E18"/>
    </sheetView>
  </sheetViews>
  <sheetFormatPr defaultRowHeight="14.4" x14ac:dyDescent="0.3"/>
  <cols>
    <col min="1" max="1" width="17.5546875" bestFit="1" customWidth="1"/>
    <col min="2" max="2" width="46.33203125" bestFit="1" customWidth="1"/>
    <col min="3" max="3" width="51.5546875" bestFit="1" customWidth="1"/>
    <col min="4" max="4" width="43.77734375" bestFit="1" customWidth="1"/>
    <col min="5" max="5" width="50.33203125" bestFit="1" customWidth="1"/>
    <col min="6" max="6" width="38.77734375" bestFit="1" customWidth="1"/>
    <col min="7" max="7" width="37.77734375" bestFit="1" customWidth="1"/>
    <col min="8" max="8" width="41.21875" bestFit="1" customWidth="1"/>
    <col min="9" max="9" width="19.6640625" bestFit="1" customWidth="1"/>
    <col min="10" max="10" width="30.88671875" bestFit="1" customWidth="1"/>
  </cols>
  <sheetData>
    <row r="2" spans="1:10" x14ac:dyDescent="0.3">
      <c r="A2" s="8" t="s">
        <v>0</v>
      </c>
      <c r="B2" t="s">
        <v>414</v>
      </c>
      <c r="C2" t="s">
        <v>24</v>
      </c>
      <c r="D2" t="s">
        <v>415</v>
      </c>
      <c r="E2" t="s">
        <v>416</v>
      </c>
      <c r="F2" t="s">
        <v>413</v>
      </c>
      <c r="G2" t="s">
        <v>417</v>
      </c>
      <c r="H2" t="s">
        <v>183</v>
      </c>
      <c r="I2" t="s">
        <v>219</v>
      </c>
      <c r="J2" t="s">
        <v>232</v>
      </c>
    </row>
    <row r="3" spans="1:10" x14ac:dyDescent="0.3">
      <c r="A3" t="s">
        <v>414</v>
      </c>
      <c r="B3" t="s">
        <v>179</v>
      </c>
      <c r="C3" t="s">
        <v>85</v>
      </c>
      <c r="D3" t="s">
        <v>388</v>
      </c>
      <c r="E3" t="s">
        <v>365</v>
      </c>
      <c r="F3" t="s">
        <v>114</v>
      </c>
      <c r="G3" t="s">
        <v>209</v>
      </c>
      <c r="H3" t="s">
        <v>190</v>
      </c>
      <c r="I3" t="s">
        <v>229</v>
      </c>
      <c r="J3" t="s">
        <v>237</v>
      </c>
    </row>
    <row r="4" spans="1:10" x14ac:dyDescent="0.3">
      <c r="A4" t="s">
        <v>24</v>
      </c>
      <c r="B4" t="s">
        <v>177</v>
      </c>
      <c r="C4" t="s">
        <v>83</v>
      </c>
      <c r="D4" t="s">
        <v>381</v>
      </c>
      <c r="E4" t="s">
        <v>359</v>
      </c>
      <c r="F4" t="s">
        <v>120</v>
      </c>
      <c r="G4" t="s">
        <v>202</v>
      </c>
      <c r="H4" t="s">
        <v>186</v>
      </c>
      <c r="I4" t="s">
        <v>227</v>
      </c>
      <c r="J4" t="s">
        <v>255</v>
      </c>
    </row>
    <row r="5" spans="1:10" x14ac:dyDescent="0.3">
      <c r="A5" t="s">
        <v>415</v>
      </c>
      <c r="B5" t="s">
        <v>143</v>
      </c>
      <c r="C5" t="s">
        <v>89</v>
      </c>
      <c r="D5" t="s">
        <v>384</v>
      </c>
      <c r="E5" t="s">
        <v>362</v>
      </c>
      <c r="F5" t="s">
        <v>110</v>
      </c>
      <c r="G5" t="s">
        <v>195</v>
      </c>
      <c r="H5" t="s">
        <v>192</v>
      </c>
      <c r="I5" t="s">
        <v>231</v>
      </c>
      <c r="J5" t="s">
        <v>264</v>
      </c>
    </row>
    <row r="6" spans="1:10" x14ac:dyDescent="0.3">
      <c r="A6" t="s">
        <v>416</v>
      </c>
      <c r="B6" t="s">
        <v>136</v>
      </c>
      <c r="C6" t="s">
        <v>87</v>
      </c>
      <c r="D6" t="s">
        <v>378</v>
      </c>
      <c r="E6" t="s">
        <v>364</v>
      </c>
      <c r="F6" t="s">
        <v>108</v>
      </c>
      <c r="G6" t="s">
        <v>208</v>
      </c>
      <c r="H6" t="s">
        <v>188</v>
      </c>
      <c r="I6" t="s">
        <v>220</v>
      </c>
      <c r="J6" t="s">
        <v>247</v>
      </c>
    </row>
    <row r="7" spans="1:10" x14ac:dyDescent="0.3">
      <c r="A7" t="s">
        <v>413</v>
      </c>
      <c r="B7" t="s">
        <v>163</v>
      </c>
      <c r="C7" t="s">
        <v>77</v>
      </c>
      <c r="D7" t="s">
        <v>386</v>
      </c>
      <c r="E7" t="s">
        <v>358</v>
      </c>
      <c r="F7" t="s">
        <v>112</v>
      </c>
      <c r="G7" t="s">
        <v>199</v>
      </c>
      <c r="H7" t="s">
        <v>184</v>
      </c>
      <c r="I7" t="s">
        <v>222</v>
      </c>
      <c r="J7" t="s">
        <v>235</v>
      </c>
    </row>
    <row r="8" spans="1:10" x14ac:dyDescent="0.3">
      <c r="A8" t="s">
        <v>417</v>
      </c>
      <c r="B8" t="s">
        <v>155</v>
      </c>
      <c r="C8" t="s">
        <v>75</v>
      </c>
      <c r="D8" t="s">
        <v>397</v>
      </c>
      <c r="E8" t="s">
        <v>361</v>
      </c>
      <c r="F8" t="s">
        <v>104</v>
      </c>
      <c r="G8" t="s">
        <v>204</v>
      </c>
      <c r="H8" t="s">
        <v>189</v>
      </c>
      <c r="I8" t="s">
        <v>224</v>
      </c>
      <c r="J8" t="s">
        <v>254</v>
      </c>
    </row>
    <row r="9" spans="1:10" x14ac:dyDescent="0.3">
      <c r="A9" t="s">
        <v>183</v>
      </c>
      <c r="B9" t="s">
        <v>139</v>
      </c>
      <c r="C9" t="s">
        <v>81</v>
      </c>
      <c r="D9" t="s">
        <v>383</v>
      </c>
      <c r="E9" t="s">
        <v>325</v>
      </c>
      <c r="F9" t="s">
        <v>106</v>
      </c>
      <c r="G9" t="s">
        <v>197</v>
      </c>
      <c r="I9" t="s">
        <v>225</v>
      </c>
      <c r="J9" t="s">
        <v>246</v>
      </c>
    </row>
    <row r="10" spans="1:10" x14ac:dyDescent="0.3">
      <c r="A10" t="s">
        <v>219</v>
      </c>
      <c r="B10" t="s">
        <v>159</v>
      </c>
      <c r="C10" t="s">
        <v>73</v>
      </c>
      <c r="D10" t="s">
        <v>380</v>
      </c>
      <c r="E10" t="s">
        <v>363</v>
      </c>
      <c r="F10" t="s">
        <v>129</v>
      </c>
      <c r="G10" t="s">
        <v>200</v>
      </c>
      <c r="J10" t="s">
        <v>263</v>
      </c>
    </row>
    <row r="11" spans="1:10" x14ac:dyDescent="0.3">
      <c r="A11" t="s">
        <v>232</v>
      </c>
      <c r="B11" t="s">
        <v>145</v>
      </c>
      <c r="C11" t="s">
        <v>79</v>
      </c>
      <c r="D11" t="s">
        <v>394</v>
      </c>
      <c r="E11" t="s">
        <v>313</v>
      </c>
      <c r="F11" t="s">
        <v>124</v>
      </c>
      <c r="G11" t="s">
        <v>206</v>
      </c>
      <c r="J11" t="s">
        <v>262</v>
      </c>
    </row>
    <row r="12" spans="1:10" x14ac:dyDescent="0.3">
      <c r="B12" t="s">
        <v>167</v>
      </c>
      <c r="C12" t="s">
        <v>70</v>
      </c>
      <c r="D12" t="s">
        <v>377</v>
      </c>
      <c r="E12" t="s">
        <v>319</v>
      </c>
      <c r="F12" t="s">
        <v>119</v>
      </c>
      <c r="G12" t="s">
        <v>217</v>
      </c>
      <c r="J12" t="s">
        <v>233</v>
      </c>
    </row>
    <row r="13" spans="1:10" x14ac:dyDescent="0.3">
      <c r="B13" t="s">
        <v>165</v>
      </c>
      <c r="C13" t="s">
        <v>50</v>
      </c>
      <c r="D13" t="s">
        <v>385</v>
      </c>
      <c r="E13" t="s">
        <v>347</v>
      </c>
      <c r="F13" t="s">
        <v>125</v>
      </c>
      <c r="G13" t="s">
        <v>211</v>
      </c>
      <c r="J13" t="s">
        <v>245</v>
      </c>
    </row>
    <row r="14" spans="1:10" x14ac:dyDescent="0.3">
      <c r="B14" t="s">
        <v>132</v>
      </c>
      <c r="C14" t="s">
        <v>72</v>
      </c>
      <c r="D14" t="s">
        <v>387</v>
      </c>
      <c r="E14" t="s">
        <v>353</v>
      </c>
      <c r="F14" t="s">
        <v>127</v>
      </c>
      <c r="G14" t="s">
        <v>213</v>
      </c>
      <c r="J14" t="s">
        <v>253</v>
      </c>
    </row>
    <row r="15" spans="1:10" x14ac:dyDescent="0.3">
      <c r="B15" t="s">
        <v>138</v>
      </c>
      <c r="C15" t="s">
        <v>67</v>
      </c>
      <c r="D15" t="s">
        <v>382</v>
      </c>
      <c r="E15" t="s">
        <v>357</v>
      </c>
      <c r="F15" t="s">
        <v>122</v>
      </c>
      <c r="G15" t="s">
        <v>215</v>
      </c>
      <c r="J15" t="s">
        <v>259</v>
      </c>
    </row>
    <row r="16" spans="1:10" x14ac:dyDescent="0.3">
      <c r="B16" t="s">
        <v>150</v>
      </c>
      <c r="C16" t="s">
        <v>59</v>
      </c>
      <c r="D16" t="s">
        <v>379</v>
      </c>
      <c r="E16" t="s">
        <v>360</v>
      </c>
      <c r="F16" t="s">
        <v>117</v>
      </c>
      <c r="J16" t="s">
        <v>239</v>
      </c>
    </row>
    <row r="17" spans="2:10" x14ac:dyDescent="0.3">
      <c r="B17" t="s">
        <v>157</v>
      </c>
      <c r="C17" t="s">
        <v>38</v>
      </c>
      <c r="D17" t="s">
        <v>376</v>
      </c>
      <c r="E17" t="s">
        <v>324</v>
      </c>
      <c r="F17" t="s">
        <v>115</v>
      </c>
      <c r="J17" t="s">
        <v>248</v>
      </c>
    </row>
    <row r="18" spans="2:10" x14ac:dyDescent="0.3">
      <c r="B18" t="s">
        <v>175</v>
      </c>
      <c r="C18" t="s">
        <v>53</v>
      </c>
      <c r="D18" t="s">
        <v>392</v>
      </c>
      <c r="E18" t="s">
        <v>286</v>
      </c>
      <c r="J18" t="s">
        <v>256</v>
      </c>
    </row>
    <row r="19" spans="2:10" x14ac:dyDescent="0.3">
      <c r="B19" t="s">
        <v>141</v>
      </c>
      <c r="C19" t="s">
        <v>93</v>
      </c>
      <c r="D19" t="s">
        <v>390</v>
      </c>
      <c r="E19" t="s">
        <v>289</v>
      </c>
      <c r="J19" t="s">
        <v>257</v>
      </c>
    </row>
    <row r="20" spans="2:10" x14ac:dyDescent="0.3">
      <c r="B20" t="s">
        <v>161</v>
      </c>
      <c r="C20" t="s">
        <v>48</v>
      </c>
      <c r="D20" t="s">
        <v>399</v>
      </c>
      <c r="E20" t="s">
        <v>292</v>
      </c>
      <c r="J20" t="s">
        <v>260</v>
      </c>
    </row>
    <row r="21" spans="2:10" x14ac:dyDescent="0.3">
      <c r="B21" t="s">
        <v>146</v>
      </c>
      <c r="C21" t="s">
        <v>68</v>
      </c>
      <c r="D21" t="s">
        <v>369</v>
      </c>
      <c r="E21" t="s">
        <v>312</v>
      </c>
      <c r="J21" t="s">
        <v>241</v>
      </c>
    </row>
    <row r="22" spans="2:10" x14ac:dyDescent="0.3">
      <c r="B22" t="s">
        <v>152</v>
      </c>
      <c r="C22" t="s">
        <v>46</v>
      </c>
      <c r="D22" t="s">
        <v>375</v>
      </c>
      <c r="E22" t="s">
        <v>328</v>
      </c>
      <c r="J22" t="s">
        <v>242</v>
      </c>
    </row>
    <row r="23" spans="2:10" x14ac:dyDescent="0.3">
      <c r="B23" t="s">
        <v>181</v>
      </c>
      <c r="C23" t="s">
        <v>42</v>
      </c>
      <c r="D23" t="s">
        <v>396</v>
      </c>
      <c r="E23" t="s">
        <v>316</v>
      </c>
      <c r="J23" t="s">
        <v>243</v>
      </c>
    </row>
    <row r="24" spans="2:10" x14ac:dyDescent="0.3">
      <c r="B24" t="s">
        <v>169</v>
      </c>
      <c r="C24" t="s">
        <v>57</v>
      </c>
      <c r="D24" t="s">
        <v>372</v>
      </c>
      <c r="E24" t="s">
        <v>318</v>
      </c>
      <c r="J24" t="s">
        <v>244</v>
      </c>
    </row>
    <row r="25" spans="2:10" x14ac:dyDescent="0.3">
      <c r="B25" t="s">
        <v>148</v>
      </c>
      <c r="C25" t="s">
        <v>36</v>
      </c>
      <c r="D25" t="s">
        <v>368</v>
      </c>
      <c r="E25" t="s">
        <v>350</v>
      </c>
      <c r="J25" t="s">
        <v>249</v>
      </c>
    </row>
    <row r="26" spans="2:10" x14ac:dyDescent="0.3">
      <c r="B26" t="s">
        <v>153</v>
      </c>
      <c r="C26" t="s">
        <v>52</v>
      </c>
      <c r="D26" t="s">
        <v>374</v>
      </c>
      <c r="E26" t="s">
        <v>322</v>
      </c>
      <c r="J26" t="s">
        <v>250</v>
      </c>
    </row>
    <row r="27" spans="2:10" x14ac:dyDescent="0.3">
      <c r="B27" t="s">
        <v>134</v>
      </c>
      <c r="C27" t="s">
        <v>61</v>
      </c>
      <c r="D27" t="s">
        <v>371</v>
      </c>
      <c r="E27" t="s">
        <v>356</v>
      </c>
      <c r="J27" t="s">
        <v>251</v>
      </c>
    </row>
    <row r="28" spans="2:10" x14ac:dyDescent="0.3">
      <c r="B28" t="s">
        <v>173</v>
      </c>
      <c r="C28" t="s">
        <v>98</v>
      </c>
      <c r="D28" t="s">
        <v>367</v>
      </c>
      <c r="E28" t="s">
        <v>323</v>
      </c>
      <c r="J28" t="s">
        <v>252</v>
      </c>
    </row>
    <row r="29" spans="2:10" x14ac:dyDescent="0.3">
      <c r="B29" t="s">
        <v>171</v>
      </c>
      <c r="C29" t="s">
        <v>31</v>
      </c>
      <c r="D29" t="s">
        <v>370</v>
      </c>
      <c r="E29" t="s">
        <v>346</v>
      </c>
      <c r="J29" t="s">
        <v>266</v>
      </c>
    </row>
    <row r="30" spans="2:10" x14ac:dyDescent="0.3">
      <c r="C30" t="s">
        <v>34</v>
      </c>
      <c r="D30" t="s">
        <v>373</v>
      </c>
      <c r="E30" t="s">
        <v>285</v>
      </c>
    </row>
    <row r="31" spans="2:10" x14ac:dyDescent="0.3">
      <c r="C31" t="s">
        <v>44</v>
      </c>
      <c r="E31" t="s">
        <v>311</v>
      </c>
    </row>
    <row r="32" spans="2:10" x14ac:dyDescent="0.3">
      <c r="C32" t="s">
        <v>65</v>
      </c>
      <c r="E32" t="s">
        <v>327</v>
      </c>
    </row>
    <row r="33" spans="3:5" x14ac:dyDescent="0.3">
      <c r="C33" t="s">
        <v>40</v>
      </c>
      <c r="E33" t="s">
        <v>352</v>
      </c>
    </row>
    <row r="34" spans="3:5" x14ac:dyDescent="0.3">
      <c r="C34" t="s">
        <v>55</v>
      </c>
      <c r="E34" t="s">
        <v>288</v>
      </c>
    </row>
    <row r="35" spans="3:5" x14ac:dyDescent="0.3">
      <c r="C35" t="s">
        <v>33</v>
      </c>
      <c r="E35" t="s">
        <v>291</v>
      </c>
    </row>
    <row r="36" spans="3:5" x14ac:dyDescent="0.3">
      <c r="C36" t="s">
        <v>63</v>
      </c>
      <c r="E36" t="s">
        <v>295</v>
      </c>
    </row>
    <row r="37" spans="3:5" x14ac:dyDescent="0.3">
      <c r="C37" t="s">
        <v>29</v>
      </c>
      <c r="E37" t="s">
        <v>315</v>
      </c>
    </row>
    <row r="38" spans="3:5" x14ac:dyDescent="0.3">
      <c r="C38" t="s">
        <v>91</v>
      </c>
      <c r="E38" t="s">
        <v>317</v>
      </c>
    </row>
    <row r="39" spans="3:5" x14ac:dyDescent="0.3">
      <c r="C39" t="s">
        <v>25</v>
      </c>
      <c r="E39" t="s">
        <v>301</v>
      </c>
    </row>
    <row r="40" spans="3:5" x14ac:dyDescent="0.3">
      <c r="C40" t="s">
        <v>95</v>
      </c>
      <c r="E40" t="s">
        <v>304</v>
      </c>
    </row>
    <row r="41" spans="3:5" x14ac:dyDescent="0.3">
      <c r="C41" t="s">
        <v>100</v>
      </c>
      <c r="E41" t="s">
        <v>321</v>
      </c>
    </row>
    <row r="42" spans="3:5" x14ac:dyDescent="0.3">
      <c r="C42" t="s">
        <v>102</v>
      </c>
      <c r="E42" t="s">
        <v>307</v>
      </c>
    </row>
    <row r="43" spans="3:5" x14ac:dyDescent="0.3">
      <c r="C43" t="s">
        <v>27</v>
      </c>
      <c r="E43" t="s">
        <v>345</v>
      </c>
    </row>
    <row r="44" spans="3:5" x14ac:dyDescent="0.3">
      <c r="C44" t="s">
        <v>96</v>
      </c>
      <c r="E44" t="s">
        <v>349</v>
      </c>
    </row>
    <row r="45" spans="3:5" x14ac:dyDescent="0.3">
      <c r="E45" t="s">
        <v>282</v>
      </c>
    </row>
    <row r="46" spans="3:5" x14ac:dyDescent="0.3">
      <c r="E46" t="s">
        <v>326</v>
      </c>
    </row>
    <row r="47" spans="3:5" x14ac:dyDescent="0.3">
      <c r="E47" t="s">
        <v>351</v>
      </c>
    </row>
    <row r="48" spans="3:5" x14ac:dyDescent="0.3">
      <c r="E48" t="s">
        <v>284</v>
      </c>
    </row>
    <row r="49" spans="5:5" x14ac:dyDescent="0.3">
      <c r="E49" t="s">
        <v>287</v>
      </c>
    </row>
    <row r="50" spans="5:5" x14ac:dyDescent="0.3">
      <c r="E50" t="s">
        <v>314</v>
      </c>
    </row>
    <row r="51" spans="5:5" x14ac:dyDescent="0.3">
      <c r="E51" t="s">
        <v>331</v>
      </c>
    </row>
    <row r="52" spans="5:5" x14ac:dyDescent="0.3">
      <c r="E52" t="s">
        <v>355</v>
      </c>
    </row>
    <row r="53" spans="5:5" x14ac:dyDescent="0.3">
      <c r="E53" t="s">
        <v>290</v>
      </c>
    </row>
    <row r="54" spans="5:5" x14ac:dyDescent="0.3">
      <c r="E54" t="s">
        <v>294</v>
      </c>
    </row>
    <row r="55" spans="5:5" x14ac:dyDescent="0.3">
      <c r="E55" t="s">
        <v>335</v>
      </c>
    </row>
    <row r="56" spans="5:5" x14ac:dyDescent="0.3">
      <c r="E56" t="s">
        <v>300</v>
      </c>
    </row>
    <row r="57" spans="5:5" x14ac:dyDescent="0.3">
      <c r="E57" t="s">
        <v>303</v>
      </c>
    </row>
    <row r="58" spans="5:5" x14ac:dyDescent="0.3">
      <c r="E58" t="s">
        <v>320</v>
      </c>
    </row>
    <row r="59" spans="5:5" x14ac:dyDescent="0.3">
      <c r="E59" t="s">
        <v>338</v>
      </c>
    </row>
    <row r="60" spans="5:5" x14ac:dyDescent="0.3">
      <c r="E60" t="s">
        <v>306</v>
      </c>
    </row>
    <row r="61" spans="5:5" x14ac:dyDescent="0.3">
      <c r="E61" t="s">
        <v>341</v>
      </c>
    </row>
    <row r="62" spans="5:5" x14ac:dyDescent="0.3">
      <c r="E62" t="s">
        <v>348</v>
      </c>
    </row>
    <row r="63" spans="5:5" x14ac:dyDescent="0.3">
      <c r="E63" t="s">
        <v>354</v>
      </c>
    </row>
    <row r="64" spans="5:5" x14ac:dyDescent="0.3">
      <c r="E64" t="s">
        <v>275</v>
      </c>
    </row>
    <row r="65" spans="5:5" x14ac:dyDescent="0.3">
      <c r="E65" t="s">
        <v>310</v>
      </c>
    </row>
    <row r="66" spans="5:5" x14ac:dyDescent="0.3">
      <c r="E66" t="s">
        <v>281</v>
      </c>
    </row>
    <row r="67" spans="5:5" x14ac:dyDescent="0.3">
      <c r="E67" t="s">
        <v>293</v>
      </c>
    </row>
    <row r="68" spans="5:5" x14ac:dyDescent="0.3">
      <c r="E68" t="s">
        <v>299</v>
      </c>
    </row>
    <row r="69" spans="5:5" x14ac:dyDescent="0.3">
      <c r="E69" t="s">
        <v>302</v>
      </c>
    </row>
    <row r="70" spans="5:5" x14ac:dyDescent="0.3">
      <c r="E70" t="s">
        <v>305</v>
      </c>
    </row>
    <row r="71" spans="5:5" x14ac:dyDescent="0.3">
      <c r="E71" t="s">
        <v>330</v>
      </c>
    </row>
    <row r="72" spans="5:5" x14ac:dyDescent="0.3">
      <c r="E72" t="s">
        <v>274</v>
      </c>
    </row>
    <row r="73" spans="5:5" x14ac:dyDescent="0.3">
      <c r="E73" t="s">
        <v>334</v>
      </c>
    </row>
    <row r="74" spans="5:5" x14ac:dyDescent="0.3">
      <c r="E74" t="s">
        <v>337</v>
      </c>
    </row>
    <row r="75" spans="5:5" x14ac:dyDescent="0.3">
      <c r="E75" t="s">
        <v>280</v>
      </c>
    </row>
    <row r="76" spans="5:5" x14ac:dyDescent="0.3">
      <c r="E76" t="s">
        <v>298</v>
      </c>
    </row>
    <row r="77" spans="5:5" x14ac:dyDescent="0.3">
      <c r="E77" t="s">
        <v>309</v>
      </c>
    </row>
    <row r="78" spans="5:5" x14ac:dyDescent="0.3">
      <c r="E78" t="s">
        <v>340</v>
      </c>
    </row>
    <row r="79" spans="5:5" x14ac:dyDescent="0.3">
      <c r="E79" t="s">
        <v>344</v>
      </c>
    </row>
    <row r="80" spans="5:5" x14ac:dyDescent="0.3">
      <c r="E80" t="s">
        <v>273</v>
      </c>
    </row>
    <row r="81" spans="5:5" x14ac:dyDescent="0.3">
      <c r="E81" t="s">
        <v>308</v>
      </c>
    </row>
    <row r="82" spans="5:5" x14ac:dyDescent="0.3">
      <c r="E82" t="s">
        <v>329</v>
      </c>
    </row>
    <row r="83" spans="5:5" x14ac:dyDescent="0.3">
      <c r="E83" t="s">
        <v>297</v>
      </c>
    </row>
    <row r="84" spans="5:5" x14ac:dyDescent="0.3">
      <c r="E84" t="s">
        <v>333</v>
      </c>
    </row>
    <row r="85" spans="5:5" x14ac:dyDescent="0.3">
      <c r="E85" t="s">
        <v>336</v>
      </c>
    </row>
    <row r="86" spans="5:5" x14ac:dyDescent="0.3">
      <c r="E86" t="s">
        <v>339</v>
      </c>
    </row>
    <row r="87" spans="5:5" x14ac:dyDescent="0.3">
      <c r="E87" t="s">
        <v>343</v>
      </c>
    </row>
    <row r="88" spans="5:5" x14ac:dyDescent="0.3">
      <c r="E88" t="s">
        <v>276</v>
      </c>
    </row>
    <row r="89" spans="5:5" x14ac:dyDescent="0.3">
      <c r="E89" t="s">
        <v>296</v>
      </c>
    </row>
    <row r="90" spans="5:5" x14ac:dyDescent="0.3">
      <c r="E90" t="s">
        <v>342</v>
      </c>
    </row>
    <row r="91" spans="5:5" x14ac:dyDescent="0.3">
      <c r="E91" t="s">
        <v>269</v>
      </c>
    </row>
    <row r="92" spans="5:5" x14ac:dyDescent="0.3">
      <c r="E92" t="s">
        <v>270</v>
      </c>
    </row>
    <row r="93" spans="5:5" x14ac:dyDescent="0.3">
      <c r="E93" t="s">
        <v>271</v>
      </c>
    </row>
    <row r="94" spans="5:5" x14ac:dyDescent="0.3">
      <c r="E94" t="s">
        <v>272</v>
      </c>
    </row>
    <row r="95" spans="5:5" x14ac:dyDescent="0.3">
      <c r="E95" t="s">
        <v>277</v>
      </c>
    </row>
    <row r="96" spans="5:5" x14ac:dyDescent="0.3">
      <c r="E96" t="s">
        <v>278</v>
      </c>
    </row>
    <row r="97" spans="5:5" x14ac:dyDescent="0.3">
      <c r="E97" t="s">
        <v>279</v>
      </c>
    </row>
  </sheetData>
  <pageMargins left="0.7" right="0.7" top="0.75" bottom="0.75" header="0.3" footer="0.3"/>
  <pageSetup orientation="portrait" r:id="rId1"/>
  <tableParts count="10">
    <tablePart r:id="rId2"/>
    <tablePart r:id="rId3"/>
    <tablePart r:id="rId4"/>
    <tablePart r:id="rId5"/>
    <tablePart r:id="rId6"/>
    <tablePart r:id="rId7"/>
    <tablePart r:id="rId8"/>
    <tablePart r:id="rId9"/>
    <tablePart r:id="rId10"/>
    <tablePart r:id="rId1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D5C96-B6E4-4E0F-8B2F-823821343907}">
  <dimension ref="B3:J18"/>
  <sheetViews>
    <sheetView workbookViewId="0">
      <selection activeCell="G24" sqref="G24"/>
    </sheetView>
  </sheetViews>
  <sheetFormatPr defaultRowHeight="14.4" x14ac:dyDescent="0.3"/>
  <cols>
    <col min="2" max="2" width="21.109375" customWidth="1"/>
    <col min="3" max="3" width="39.21875" customWidth="1"/>
    <col min="5" max="5" width="11.44140625" bestFit="1" customWidth="1"/>
    <col min="6" max="6" width="12.88671875" bestFit="1" customWidth="1"/>
    <col min="7" max="7" width="10.5546875" bestFit="1" customWidth="1"/>
    <col min="10" max="10" width="12.88671875" bestFit="1" customWidth="1"/>
  </cols>
  <sheetData>
    <row r="3" spans="2:10" x14ac:dyDescent="0.3">
      <c r="B3" s="9" t="s">
        <v>24</v>
      </c>
      <c r="C3" s="9" t="s">
        <v>50</v>
      </c>
    </row>
    <row r="8" spans="2:10" x14ac:dyDescent="0.3">
      <c r="C8" t="s">
        <v>3</v>
      </c>
      <c r="D8" t="s">
        <v>418</v>
      </c>
      <c r="E8" t="s">
        <v>419</v>
      </c>
      <c r="F8" t="s">
        <v>422</v>
      </c>
      <c r="G8" t="s">
        <v>421</v>
      </c>
      <c r="H8" t="s">
        <v>420</v>
      </c>
      <c r="I8" t="s">
        <v>19</v>
      </c>
      <c r="J8" t="s">
        <v>14</v>
      </c>
    </row>
    <row r="9" spans="2:10" x14ac:dyDescent="0.3">
      <c r="C9">
        <f>_xlfn.XLOOKUP($C$3,Menu_Cleaned!$B$2:$B$261,Menu_Cleaned!$D$2:$D$261)</f>
        <v>570</v>
      </c>
      <c r="D9">
        <f>_xlfn.XLOOKUP($C$3,Menu_Cleaned!$B$2:$B$261,Menu_Cleaned!$G$2:$G$261)</f>
        <v>37</v>
      </c>
      <c r="E9">
        <f>_xlfn.XLOOKUP($C$3,Menu_Cleaned!$B$2:$B$261,Menu_Cleaned!$I$2:$I$261)</f>
        <v>15</v>
      </c>
      <c r="F9">
        <f>_xlfn.XLOOKUP($C$3,Menu_Cleaned!$B$2:$B$261,Menu_Cleaned!$L$2:$L$261)</f>
        <v>250</v>
      </c>
      <c r="G9">
        <f>_xlfn.XLOOKUP($C$3,Menu_Cleaned!$B$2:$B$261,Menu_Cleaned!$N$2:$N$261)</f>
        <v>1280</v>
      </c>
      <c r="H9">
        <f>_xlfn.XLOOKUP($C$3,Menu_Cleaned!$B$2:$B$261,Menu_Cleaned!$T$2:$T$261)</f>
        <v>3</v>
      </c>
      <c r="I9">
        <f>_xlfn.XLOOKUP($C$3,Menu_Cleaned!$B$2:$B$261,Menu_Cleaned!$U$2:$U$261)</f>
        <v>18</v>
      </c>
      <c r="J9">
        <f>_xlfn.XLOOKUP($C$3,Menu_Cleaned!$B$2:$B$261,Menu_Cleaned!$P$2:$P$261)</f>
        <v>42</v>
      </c>
    </row>
    <row r="11" spans="2:10" x14ac:dyDescent="0.3">
      <c r="C11" t="s">
        <v>3</v>
      </c>
      <c r="D11">
        <f>_xlfn.XLOOKUP($C$3,Menu_Cleaned!$B$2:$B$261,Menu_Cleaned!$D$2:$D$261)</f>
        <v>570</v>
      </c>
    </row>
    <row r="12" spans="2:10" x14ac:dyDescent="0.3">
      <c r="C12" t="s">
        <v>418</v>
      </c>
      <c r="D12">
        <f>_xlfn.XLOOKUP($C$3,Menu_Cleaned!$B$2:$B$261,Menu_Cleaned!$G$2:$G$261)</f>
        <v>37</v>
      </c>
    </row>
    <row r="13" spans="2:10" x14ac:dyDescent="0.3">
      <c r="C13" t="s">
        <v>419</v>
      </c>
      <c r="D13">
        <f>_xlfn.XLOOKUP($C$3,Menu_Cleaned!$B$2:$B$261,Menu_Cleaned!$I$2:$I$261)</f>
        <v>15</v>
      </c>
    </row>
    <row r="14" spans="2:10" x14ac:dyDescent="0.3">
      <c r="C14" t="s">
        <v>422</v>
      </c>
      <c r="D14">
        <f>_xlfn.XLOOKUP($C$3,Menu_Cleaned!$B$2:$B$261,Menu_Cleaned!$L$2:$L$261)</f>
        <v>250</v>
      </c>
    </row>
    <row r="15" spans="2:10" x14ac:dyDescent="0.3">
      <c r="C15" t="s">
        <v>421</v>
      </c>
      <c r="D15">
        <f>_xlfn.XLOOKUP($C$3,Menu_Cleaned!$B$2:$B$261,Menu_Cleaned!$N$2:$N$261)</f>
        <v>1280</v>
      </c>
    </row>
    <row r="16" spans="2:10" x14ac:dyDescent="0.3">
      <c r="C16" t="s">
        <v>420</v>
      </c>
      <c r="D16">
        <f>_xlfn.XLOOKUP($C$3,Menu_Cleaned!$B$2:$B$261,Menu_Cleaned!$T$2:$T$261)</f>
        <v>3</v>
      </c>
    </row>
    <row r="17" spans="3:4" x14ac:dyDescent="0.3">
      <c r="C17" t="s">
        <v>19</v>
      </c>
      <c r="D17">
        <f>_xlfn.XLOOKUP($C$3,Menu_Cleaned!$B$2:$B$261,Menu_Cleaned!$U$2:$U$261)</f>
        <v>18</v>
      </c>
    </row>
    <row r="18" spans="3:4" x14ac:dyDescent="0.3">
      <c r="C18" t="s">
        <v>14</v>
      </c>
      <c r="D18">
        <f>_xlfn.XLOOKUP($C$3,Menu_Cleaned!$B$2:$B$261,Menu_Cleaned!$P$2:$P$261)</f>
        <v>42</v>
      </c>
    </row>
  </sheetData>
  <dataValidations count="2">
    <dataValidation type="list" allowBlank="1" showInputMessage="1" showErrorMessage="1" sqref="B3" xr:uid="{A7B5C779-2746-4CC3-B82A-660E46CF6A76}">
      <formula1>Categories</formula1>
    </dataValidation>
    <dataValidation type="list" allowBlank="1" showInputMessage="1" showErrorMessage="1" sqref="C3" xr:uid="{F57D6BD6-77C7-41FB-A13E-5994E51FD134}">
      <formula1>INDIRECT($B$3)</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F2DD4-D1CF-4C50-A4B1-A8422B6537A9}">
  <sheetPr codeName="Sheet9"/>
  <dimension ref="A3:H12"/>
  <sheetViews>
    <sheetView workbookViewId="0">
      <selection activeCell="F26" sqref="F26"/>
    </sheetView>
  </sheetViews>
  <sheetFormatPr defaultRowHeight="14.4" x14ac:dyDescent="0.3"/>
  <cols>
    <col min="1" max="1" width="10.77734375" bestFit="1" customWidth="1"/>
    <col min="2" max="2" width="19.6640625" bestFit="1" customWidth="1"/>
    <col min="3" max="3" width="13.109375" bestFit="1" customWidth="1"/>
    <col min="4" max="4" width="14" bestFit="1" customWidth="1"/>
    <col min="5" max="5" width="32.21875" bestFit="1" customWidth="1"/>
    <col min="6" max="6" width="19.6640625" bestFit="1" customWidth="1"/>
  </cols>
  <sheetData>
    <row r="3" spans="1:8" x14ac:dyDescent="0.3">
      <c r="A3" s="1" t="s">
        <v>0</v>
      </c>
      <c r="B3" s="1" t="s">
        <v>1</v>
      </c>
      <c r="C3" t="s">
        <v>405</v>
      </c>
      <c r="D3" t="s">
        <v>406</v>
      </c>
    </row>
    <row r="4" spans="1:8" x14ac:dyDescent="0.3">
      <c r="A4" t="s">
        <v>219</v>
      </c>
      <c r="F4" s="3" t="s">
        <v>219</v>
      </c>
      <c r="G4" s="3" t="s">
        <v>18</v>
      </c>
      <c r="H4" s="3"/>
    </row>
    <row r="5" spans="1:8" x14ac:dyDescent="0.3">
      <c r="B5" t="s">
        <v>220</v>
      </c>
      <c r="C5">
        <v>13</v>
      </c>
      <c r="D5">
        <v>170</v>
      </c>
      <c r="F5" t="s">
        <v>227</v>
      </c>
      <c r="G5">
        <v>48</v>
      </c>
    </row>
    <row r="6" spans="1:8" x14ac:dyDescent="0.3">
      <c r="B6" t="s">
        <v>222</v>
      </c>
      <c r="C6">
        <v>15</v>
      </c>
      <c r="D6">
        <v>90</v>
      </c>
      <c r="F6" t="s">
        <v>231</v>
      </c>
      <c r="G6">
        <v>45</v>
      </c>
    </row>
    <row r="7" spans="1:8" x14ac:dyDescent="0.3">
      <c r="B7" t="s">
        <v>229</v>
      </c>
      <c r="C7">
        <v>43</v>
      </c>
      <c r="D7">
        <v>150</v>
      </c>
      <c r="F7" t="s">
        <v>229</v>
      </c>
      <c r="G7">
        <v>43</v>
      </c>
    </row>
    <row r="8" spans="1:8" x14ac:dyDescent="0.3">
      <c r="B8" t="s">
        <v>227</v>
      </c>
      <c r="C8">
        <v>48</v>
      </c>
      <c r="D8">
        <v>170</v>
      </c>
      <c r="F8" t="s">
        <v>222</v>
      </c>
      <c r="G8">
        <v>15</v>
      </c>
    </row>
    <row r="9" spans="1:8" x14ac:dyDescent="0.3">
      <c r="B9" t="s">
        <v>225</v>
      </c>
      <c r="C9">
        <v>6</v>
      </c>
      <c r="D9">
        <v>20</v>
      </c>
      <c r="F9" t="s">
        <v>220</v>
      </c>
      <c r="G9">
        <v>13</v>
      </c>
    </row>
    <row r="10" spans="1:8" x14ac:dyDescent="0.3">
      <c r="B10" t="s">
        <v>224</v>
      </c>
      <c r="C10">
        <v>13</v>
      </c>
      <c r="D10">
        <v>135</v>
      </c>
      <c r="F10" t="s">
        <v>224</v>
      </c>
      <c r="G10">
        <v>13</v>
      </c>
    </row>
    <row r="11" spans="1:8" x14ac:dyDescent="0.3">
      <c r="B11" t="s">
        <v>231</v>
      </c>
      <c r="C11">
        <v>45</v>
      </c>
      <c r="D11">
        <v>85</v>
      </c>
      <c r="F11" t="s">
        <v>225</v>
      </c>
      <c r="G11">
        <v>6</v>
      </c>
    </row>
    <row r="12" spans="1:8" x14ac:dyDescent="0.3">
      <c r="A12" t="s">
        <v>400</v>
      </c>
      <c r="C12">
        <v>183</v>
      </c>
      <c r="D12">
        <v>820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2AA78-82E9-45E8-8BA5-3FEEED699BDF}">
  <sheetPr codeName="Sheet10"/>
  <dimension ref="A3:C29"/>
  <sheetViews>
    <sheetView workbookViewId="0">
      <selection activeCell="C14" sqref="C14"/>
    </sheetView>
  </sheetViews>
  <sheetFormatPr defaultRowHeight="14.4" x14ac:dyDescent="0.3"/>
  <cols>
    <col min="1" max="1" width="10.77734375" bestFit="1" customWidth="1"/>
    <col min="2" max="2" width="51.5546875" bestFit="1" customWidth="1"/>
    <col min="3" max="3" width="14.109375" bestFit="1" customWidth="1"/>
    <col min="4" max="5" width="23.33203125" bestFit="1" customWidth="1"/>
  </cols>
  <sheetData>
    <row r="3" spans="1:3" x14ac:dyDescent="0.3">
      <c r="A3" s="1" t="s">
        <v>0</v>
      </c>
      <c r="B3" s="1" t="s">
        <v>1</v>
      </c>
      <c r="C3" t="s">
        <v>401</v>
      </c>
    </row>
    <row r="4" spans="1:3" x14ac:dyDescent="0.3">
      <c r="A4" t="s">
        <v>24</v>
      </c>
      <c r="C4" s="41"/>
    </row>
    <row r="5" spans="1:3" x14ac:dyDescent="0.3">
      <c r="B5" t="s">
        <v>36</v>
      </c>
      <c r="C5" s="41">
        <v>460</v>
      </c>
    </row>
    <row r="6" spans="1:3" x14ac:dyDescent="0.3">
      <c r="B6" t="s">
        <v>42</v>
      </c>
      <c r="C6" s="41">
        <v>470</v>
      </c>
    </row>
    <row r="7" spans="1:3" x14ac:dyDescent="0.3">
      <c r="B7" t="s">
        <v>40</v>
      </c>
      <c r="C7" s="41">
        <v>410</v>
      </c>
    </row>
    <row r="8" spans="1:3" x14ac:dyDescent="0.3">
      <c r="B8" t="s">
        <v>61</v>
      </c>
      <c r="C8" s="41">
        <v>460</v>
      </c>
    </row>
    <row r="9" spans="1:3" x14ac:dyDescent="0.3">
      <c r="B9" t="s">
        <v>63</v>
      </c>
      <c r="C9" s="41">
        <v>400</v>
      </c>
    </row>
    <row r="10" spans="1:3" x14ac:dyDescent="0.3">
      <c r="B10" t="s">
        <v>98</v>
      </c>
      <c r="C10" s="41">
        <v>460</v>
      </c>
    </row>
    <row r="11" spans="1:3" x14ac:dyDescent="0.3">
      <c r="B11" t="s">
        <v>25</v>
      </c>
      <c r="C11" s="41">
        <v>300</v>
      </c>
    </row>
    <row r="12" spans="1:3" x14ac:dyDescent="0.3">
      <c r="B12" t="s">
        <v>27</v>
      </c>
      <c r="C12" s="41">
        <v>250</v>
      </c>
    </row>
    <row r="13" spans="1:3" x14ac:dyDescent="0.3">
      <c r="B13" t="s">
        <v>100</v>
      </c>
      <c r="C13" s="41">
        <v>290</v>
      </c>
    </row>
    <row r="14" spans="1:3" x14ac:dyDescent="0.3">
      <c r="B14" t="s">
        <v>102</v>
      </c>
      <c r="C14" s="41">
        <v>260</v>
      </c>
    </row>
    <row r="15" spans="1:3" x14ac:dyDescent="0.3">
      <c r="B15" t="s">
        <v>96</v>
      </c>
      <c r="C15" s="41">
        <v>150</v>
      </c>
    </row>
    <row r="16" spans="1:3" x14ac:dyDescent="0.3">
      <c r="B16" t="s">
        <v>91</v>
      </c>
      <c r="C16" s="41">
        <v>350</v>
      </c>
    </row>
    <row r="17" spans="1:3" x14ac:dyDescent="0.3">
      <c r="B17" t="s">
        <v>46</v>
      </c>
      <c r="C17" s="41">
        <v>480</v>
      </c>
    </row>
    <row r="18" spans="1:3" x14ac:dyDescent="0.3">
      <c r="B18" t="s">
        <v>44</v>
      </c>
      <c r="C18" s="41">
        <v>430</v>
      </c>
    </row>
    <row r="19" spans="1:3" x14ac:dyDescent="0.3">
      <c r="B19" t="s">
        <v>52</v>
      </c>
      <c r="C19" s="41">
        <v>460</v>
      </c>
    </row>
    <row r="20" spans="1:3" x14ac:dyDescent="0.3">
      <c r="B20" t="s">
        <v>95</v>
      </c>
      <c r="C20" s="41">
        <v>300</v>
      </c>
    </row>
    <row r="21" spans="1:3" x14ac:dyDescent="0.3">
      <c r="B21" t="s">
        <v>65</v>
      </c>
      <c r="C21" s="41">
        <v>420</v>
      </c>
    </row>
    <row r="22" spans="1:3" x14ac:dyDescent="0.3">
      <c r="B22" t="s">
        <v>29</v>
      </c>
      <c r="C22" s="41">
        <v>370</v>
      </c>
    </row>
    <row r="23" spans="1:3" x14ac:dyDescent="0.3">
      <c r="B23" t="s">
        <v>31</v>
      </c>
      <c r="C23" s="41">
        <v>450</v>
      </c>
    </row>
    <row r="24" spans="1:3" x14ac:dyDescent="0.3">
      <c r="B24" t="s">
        <v>33</v>
      </c>
      <c r="C24" s="41">
        <v>400</v>
      </c>
    </row>
    <row r="25" spans="1:3" x14ac:dyDescent="0.3">
      <c r="B25" t="s">
        <v>68</v>
      </c>
      <c r="C25" s="41">
        <v>500</v>
      </c>
    </row>
    <row r="26" spans="1:3" x14ac:dyDescent="0.3">
      <c r="B26" t="s">
        <v>57</v>
      </c>
      <c r="C26" s="41">
        <v>470</v>
      </c>
    </row>
    <row r="27" spans="1:3" x14ac:dyDescent="0.3">
      <c r="B27" t="s">
        <v>55</v>
      </c>
      <c r="C27" s="41">
        <v>410</v>
      </c>
    </row>
    <row r="28" spans="1:3" x14ac:dyDescent="0.3">
      <c r="B28" t="s">
        <v>34</v>
      </c>
      <c r="C28" s="41">
        <v>430</v>
      </c>
    </row>
    <row r="29" spans="1:3" x14ac:dyDescent="0.3">
      <c r="A29" t="s">
        <v>400</v>
      </c>
      <c r="C29" s="41">
        <v>9380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F0740-38CF-4AAA-B629-EBA43BFADB8D}">
  <sheetPr codeName="Sheet1"/>
  <dimension ref="A1:K26"/>
  <sheetViews>
    <sheetView topLeftCell="C1" workbookViewId="0">
      <selection activeCell="L13" sqref="L13"/>
    </sheetView>
  </sheetViews>
  <sheetFormatPr defaultRowHeight="14.4" x14ac:dyDescent="0.3"/>
  <cols>
    <col min="1" max="1" width="17.5546875" bestFit="1" customWidth="1"/>
    <col min="2" max="2" width="40.88671875" bestFit="1" customWidth="1"/>
    <col min="3" max="3" width="23.33203125" bestFit="1" customWidth="1"/>
    <col min="4" max="4" width="9.33203125" bestFit="1" customWidth="1"/>
    <col min="5" max="5" width="13.33203125" bestFit="1" customWidth="1"/>
    <col min="6" max="6" width="40.88671875" bestFit="1" customWidth="1"/>
    <col min="7" max="7" width="23.33203125" bestFit="1" customWidth="1"/>
    <col min="8" max="24" width="9.33203125" bestFit="1" customWidth="1"/>
    <col min="25" max="25" width="10.77734375" bestFit="1" customWidth="1"/>
  </cols>
  <sheetData>
    <row r="1" spans="1:9" x14ac:dyDescent="0.3">
      <c r="A1" s="1" t="s">
        <v>403</v>
      </c>
      <c r="B1" t="s" vm="1">
        <v>453</v>
      </c>
    </row>
    <row r="3" spans="1:9" x14ac:dyDescent="0.3">
      <c r="A3" s="1" t="s">
        <v>0</v>
      </c>
      <c r="B3" s="1" t="s">
        <v>1</v>
      </c>
      <c r="C3" t="s">
        <v>407</v>
      </c>
      <c r="E3" s="4" t="s">
        <v>1</v>
      </c>
      <c r="F3" s="4" t="s">
        <v>403</v>
      </c>
    </row>
    <row r="4" spans="1:9" x14ac:dyDescent="0.3">
      <c r="A4" t="s">
        <v>24</v>
      </c>
      <c r="B4" t="s">
        <v>77</v>
      </c>
      <c r="C4" s="5">
        <v>0.58750000000000002</v>
      </c>
      <c r="E4" t="str" cm="1">
        <f t="array" ref="E4:F20">_xlfn.IFS($K$19=1,_xlfn._xlws.FILTER($B$3:$C$263,$A$3:$A$263=$I$5),$K$19=2,_xlfn._xlws.FILTER($B$3:$C$263,$A$3:$A$263=$I$6),$K$19=3,_xlfn._xlws.FILTER($B$3:$C$263,$A$3:$A$263=$I$7))</f>
        <v>Big Breakfast (Large Biscuit)</v>
      </c>
      <c r="F4" s="6">
        <v>0.58750000000000002</v>
      </c>
      <c r="G4" s="6"/>
    </row>
    <row r="5" spans="1:9" x14ac:dyDescent="0.3">
      <c r="A5" t="s">
        <v>24</v>
      </c>
      <c r="B5" t="s">
        <v>46</v>
      </c>
      <c r="C5" s="5">
        <v>0.58333333333333337</v>
      </c>
      <c r="E5" t="str">
        <v>Sausage Biscuit (Large Biscuit)</v>
      </c>
      <c r="F5" s="6">
        <v>0.58333333333333337</v>
      </c>
      <c r="G5" s="6"/>
      <c r="I5" t="str" cm="1">
        <f t="array" ref="I5:I7">_xlfn.UNIQUE(_xlfn._xlws.FILTER(A4:A263,A4:A263&lt;&gt;""))</f>
        <v>Breakfast</v>
      </c>
    </row>
    <row r="6" spans="1:9" x14ac:dyDescent="0.3">
      <c r="A6" t="s">
        <v>24</v>
      </c>
      <c r="B6" t="s">
        <v>75</v>
      </c>
      <c r="C6" s="5">
        <v>0.58108108108108103</v>
      </c>
      <c r="E6" t="str">
        <v>Big Breakfast (Regular Biscuit)</v>
      </c>
      <c r="F6" s="6">
        <v>0.58108108108108103</v>
      </c>
      <c r="G6" s="6"/>
      <c r="I6" t="str">
        <v>Chicken_Fish</v>
      </c>
    </row>
    <row r="7" spans="1:9" x14ac:dyDescent="0.3">
      <c r="A7" t="s">
        <v>24</v>
      </c>
      <c r="B7" t="s">
        <v>50</v>
      </c>
      <c r="C7" s="5">
        <v>0.57894736842105265</v>
      </c>
      <c r="E7" t="str">
        <v>Sausage Biscuit with Egg (Large Biscuit)</v>
      </c>
      <c r="F7" s="6">
        <v>0.57894736842105265</v>
      </c>
      <c r="G7" s="6"/>
      <c r="I7" t="str">
        <v>Beef_Pork</v>
      </c>
    </row>
    <row r="8" spans="1:9" x14ac:dyDescent="0.3">
      <c r="A8" t="s">
        <v>24</v>
      </c>
      <c r="B8" t="s">
        <v>48</v>
      </c>
      <c r="C8" s="5">
        <v>0.56862745098039214</v>
      </c>
      <c r="E8" t="str">
        <v>Sausage Biscuit with Egg (Regular Biscuit)</v>
      </c>
      <c r="F8" s="6">
        <v>0.56862745098039214</v>
      </c>
      <c r="G8" s="6"/>
    </row>
    <row r="9" spans="1:9" x14ac:dyDescent="0.3">
      <c r="A9" t="s">
        <v>24</v>
      </c>
      <c r="B9" t="s">
        <v>44</v>
      </c>
      <c r="C9" s="5">
        <v>0.55813953488372092</v>
      </c>
      <c r="E9" t="str">
        <v>Sausage Biscuit (Regular Biscuit)</v>
      </c>
      <c r="F9" s="6">
        <v>0.55813953488372092</v>
      </c>
      <c r="G9" s="6"/>
    </row>
    <row r="10" spans="1:9" x14ac:dyDescent="0.3">
      <c r="A10" t="s">
        <v>24</v>
      </c>
      <c r="B10" t="s">
        <v>31</v>
      </c>
      <c r="C10" s="5">
        <v>0.55555555555555558</v>
      </c>
      <c r="E10" t="str">
        <v>Sausage McMuffin with Egg</v>
      </c>
      <c r="F10" s="6">
        <v>0.55555555555555558</v>
      </c>
      <c r="G10" s="6"/>
    </row>
    <row r="11" spans="1:9" x14ac:dyDescent="0.3">
      <c r="A11" t="s">
        <v>24</v>
      </c>
      <c r="B11" t="s">
        <v>52</v>
      </c>
      <c r="C11" s="5">
        <v>0.54347826086956519</v>
      </c>
      <c r="E11" t="str">
        <v>Sausage Biscuit with Egg Whites (Regular Biscuit)</v>
      </c>
      <c r="F11" s="6">
        <v>0.54347826086956519</v>
      </c>
      <c r="G11" s="6"/>
    </row>
    <row r="12" spans="1:9" x14ac:dyDescent="0.3">
      <c r="A12" t="s">
        <v>24</v>
      </c>
      <c r="B12" t="s">
        <v>29</v>
      </c>
      <c r="C12" s="5">
        <v>0.54054054054054057</v>
      </c>
      <c r="E12" t="str">
        <v>Sausage McMuffin</v>
      </c>
      <c r="F12" s="6">
        <v>0.54054054054054057</v>
      </c>
      <c r="G12" s="6"/>
    </row>
    <row r="13" spans="1:9" x14ac:dyDescent="0.3">
      <c r="A13" t="s">
        <v>24</v>
      </c>
      <c r="B13" t="s">
        <v>53</v>
      </c>
      <c r="C13" s="5">
        <v>0.53846153846153844</v>
      </c>
      <c r="E13" t="str">
        <v>Sausage Biscuit with Egg Whites (Large Biscuit)</v>
      </c>
      <c r="F13" s="6">
        <v>0.53846153846153844</v>
      </c>
      <c r="G13" s="6"/>
    </row>
    <row r="14" spans="1:9" x14ac:dyDescent="0.3">
      <c r="A14" t="s">
        <v>24</v>
      </c>
      <c r="B14" t="s">
        <v>59</v>
      </c>
      <c r="C14" s="5">
        <v>0.53703703703703709</v>
      </c>
      <c r="E14" t="str">
        <v>Steak &amp; Egg Biscuit (Regular Biscuit)</v>
      </c>
      <c r="F14" s="6">
        <v>0.53703703703703709</v>
      </c>
      <c r="G14" s="6"/>
    </row>
    <row r="15" spans="1:9" x14ac:dyDescent="0.3">
      <c r="A15" t="s">
        <v>24</v>
      </c>
      <c r="B15" t="s">
        <v>81</v>
      </c>
      <c r="C15" s="5">
        <v>0.53623188405797106</v>
      </c>
      <c r="E15" t="str">
        <v>Big Breakfast with Egg Whites (Large Biscuit)</v>
      </c>
      <c r="F15" s="6">
        <v>0.53623188405797106</v>
      </c>
      <c r="G15" s="6"/>
    </row>
    <row r="16" spans="1:9" x14ac:dyDescent="0.3">
      <c r="A16" t="s">
        <v>24</v>
      </c>
      <c r="B16" t="s">
        <v>96</v>
      </c>
      <c r="C16" s="5">
        <v>0.53333333333333333</v>
      </c>
      <c r="E16" t="str">
        <v>Hash Brown</v>
      </c>
      <c r="F16" s="6">
        <v>0.53333333333333333</v>
      </c>
      <c r="G16" s="6"/>
    </row>
    <row r="17" spans="1:11" x14ac:dyDescent="0.3">
      <c r="A17" t="s">
        <v>24</v>
      </c>
      <c r="B17" t="s">
        <v>33</v>
      </c>
      <c r="C17" s="5">
        <v>0.52500000000000002</v>
      </c>
      <c r="E17" t="str">
        <v>Sausage McMuffin with Egg Whites</v>
      </c>
      <c r="F17" s="6">
        <v>0.52500000000000002</v>
      </c>
      <c r="G17" s="6"/>
    </row>
    <row r="18" spans="1:11" x14ac:dyDescent="0.3">
      <c r="A18" t="s">
        <v>24</v>
      </c>
      <c r="B18" t="s">
        <v>38</v>
      </c>
      <c r="C18" s="5">
        <v>0.51923076923076927</v>
      </c>
      <c r="E18" t="str">
        <v>Bacon, Egg &amp; Cheese Biscuit (Large Biscuit)</v>
      </c>
      <c r="F18" s="6">
        <v>0.51923076923076927</v>
      </c>
      <c r="G18" s="6"/>
    </row>
    <row r="19" spans="1:11" x14ac:dyDescent="0.3">
      <c r="A19" t="s">
        <v>24</v>
      </c>
      <c r="B19" t="s">
        <v>79</v>
      </c>
      <c r="C19" s="5">
        <v>0.515625</v>
      </c>
      <c r="E19" t="str">
        <v>Big Breakfast with Egg Whites (Regular Biscuit)</v>
      </c>
      <c r="F19" s="6">
        <v>0.515625</v>
      </c>
      <c r="G19" s="6"/>
      <c r="K19">
        <v>1</v>
      </c>
    </row>
    <row r="20" spans="1:11" x14ac:dyDescent="0.3">
      <c r="A20" t="s">
        <v>24</v>
      </c>
      <c r="B20" t="s">
        <v>67</v>
      </c>
      <c r="C20" s="5">
        <v>0.50909090909090904</v>
      </c>
      <c r="E20" t="str">
        <v>Sausage, Egg &amp; Cheese McGriddles</v>
      </c>
      <c r="F20" s="6">
        <v>0.50909090909090904</v>
      </c>
      <c r="G20" s="6"/>
    </row>
    <row r="21" spans="1:11" x14ac:dyDescent="0.3">
      <c r="A21" t="s">
        <v>414</v>
      </c>
      <c r="B21" t="s">
        <v>171</v>
      </c>
      <c r="C21" s="5">
        <v>0.57894736842105265</v>
      </c>
    </row>
    <row r="22" spans="1:11" x14ac:dyDescent="0.3">
      <c r="A22" t="s">
        <v>414</v>
      </c>
      <c r="B22" t="s">
        <v>175</v>
      </c>
      <c r="C22" s="5">
        <v>0.57446808510638303</v>
      </c>
    </row>
    <row r="23" spans="1:11" x14ac:dyDescent="0.3">
      <c r="A23" t="s">
        <v>414</v>
      </c>
      <c r="B23" t="s">
        <v>173</v>
      </c>
      <c r="C23" s="5">
        <v>0.5714285714285714</v>
      </c>
    </row>
    <row r="24" spans="1:11" x14ac:dyDescent="0.3">
      <c r="A24" t="s">
        <v>414</v>
      </c>
      <c r="B24" t="s">
        <v>177</v>
      </c>
      <c r="C24" s="5">
        <v>0.56382978723404253</v>
      </c>
    </row>
    <row r="25" spans="1:11" x14ac:dyDescent="0.3">
      <c r="A25" t="s">
        <v>414</v>
      </c>
      <c r="B25" t="s">
        <v>179</v>
      </c>
      <c r="C25" s="5">
        <v>0.56382978723404253</v>
      </c>
    </row>
    <row r="26" spans="1:11" x14ac:dyDescent="0.3">
      <c r="A26" t="s">
        <v>413</v>
      </c>
      <c r="B26" t="s">
        <v>114</v>
      </c>
      <c r="C26" s="5">
        <v>0.50666666666666671</v>
      </c>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96" r:id="rId5" name="Option Button 8">
              <controlPr defaultSize="0" autoFill="0" autoLine="0" autoPict="0">
                <anchor moveWithCells="1">
                  <from>
                    <xdr:col>10</xdr:col>
                    <xdr:colOff>441960</xdr:colOff>
                    <xdr:row>1</xdr:row>
                    <xdr:rowOff>152400</xdr:rowOff>
                  </from>
                  <to>
                    <xdr:col>13</xdr:col>
                    <xdr:colOff>396240</xdr:colOff>
                    <xdr:row>4</xdr:row>
                    <xdr:rowOff>38100</xdr:rowOff>
                  </to>
                </anchor>
              </controlPr>
            </control>
          </mc:Choice>
        </mc:AlternateContent>
        <mc:AlternateContent xmlns:mc="http://schemas.openxmlformats.org/markup-compatibility/2006">
          <mc:Choice Requires="x14">
            <control shapeId="12297" r:id="rId6" name="Option Button 9">
              <controlPr defaultSize="0" autoFill="0" autoLine="0" autoPict="0">
                <anchor moveWithCells="1">
                  <from>
                    <xdr:col>10</xdr:col>
                    <xdr:colOff>449580</xdr:colOff>
                    <xdr:row>3</xdr:row>
                    <xdr:rowOff>114300</xdr:rowOff>
                  </from>
                  <to>
                    <xdr:col>12</xdr:col>
                    <xdr:colOff>167640</xdr:colOff>
                    <xdr:row>5</xdr:row>
                    <xdr:rowOff>167640</xdr:rowOff>
                  </to>
                </anchor>
              </controlPr>
            </control>
          </mc:Choice>
        </mc:AlternateContent>
        <mc:AlternateContent xmlns:mc="http://schemas.openxmlformats.org/markup-compatibility/2006">
          <mc:Choice Requires="x14">
            <control shapeId="12302" r:id="rId7" name="Option Button 14">
              <controlPr defaultSize="0" autoFill="0" autoLine="0" autoPict="0">
                <anchor moveWithCells="1">
                  <from>
                    <xdr:col>10</xdr:col>
                    <xdr:colOff>457200</xdr:colOff>
                    <xdr:row>5</xdr:row>
                    <xdr:rowOff>76200</xdr:rowOff>
                  </from>
                  <to>
                    <xdr:col>12</xdr:col>
                    <xdr:colOff>175260</xdr:colOff>
                    <xdr:row>7</xdr:row>
                    <xdr:rowOff>129540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FEBEF-819B-4B3D-8194-F72979938BE0}">
  <dimension ref="A3:B8"/>
  <sheetViews>
    <sheetView workbookViewId="0">
      <selection activeCell="H20" sqref="H20"/>
    </sheetView>
  </sheetViews>
  <sheetFormatPr defaultRowHeight="14.4" x14ac:dyDescent="0.3"/>
  <cols>
    <col min="1" max="1" width="14.77734375" bestFit="1" customWidth="1"/>
    <col min="2" max="3" width="20.5546875" bestFit="1" customWidth="1"/>
    <col min="4" max="4" width="17" bestFit="1" customWidth="1"/>
  </cols>
  <sheetData>
    <row r="3" spans="1:2" x14ac:dyDescent="0.3">
      <c r="A3" s="1" t="s">
        <v>404</v>
      </c>
      <c r="B3" t="s">
        <v>410</v>
      </c>
    </row>
    <row r="4" spans="1:2" x14ac:dyDescent="0.3">
      <c r="A4" t="s">
        <v>433</v>
      </c>
      <c r="B4" s="41">
        <v>1</v>
      </c>
    </row>
    <row r="5" spans="1:2" x14ac:dyDescent="0.3">
      <c r="A5" t="s">
        <v>432</v>
      </c>
      <c r="B5" s="41">
        <v>3</v>
      </c>
    </row>
    <row r="6" spans="1:2" x14ac:dyDescent="0.3">
      <c r="A6" t="s">
        <v>409</v>
      </c>
      <c r="B6" s="41">
        <v>19</v>
      </c>
    </row>
    <row r="7" spans="1:2" x14ac:dyDescent="0.3">
      <c r="A7" t="s">
        <v>408</v>
      </c>
      <c r="B7" s="41">
        <v>19</v>
      </c>
    </row>
    <row r="8" spans="1:2" x14ac:dyDescent="0.3">
      <c r="A8" t="s">
        <v>400</v>
      </c>
      <c r="B8" s="41">
        <v>42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1230-5B37-4D59-84BD-516A02772473}">
  <dimension ref="A3:G264"/>
  <sheetViews>
    <sheetView workbookViewId="0">
      <selection activeCell="C19" sqref="C19"/>
    </sheetView>
  </sheetViews>
  <sheetFormatPr defaultRowHeight="14.4" x14ac:dyDescent="0.3"/>
  <cols>
    <col min="1" max="1" width="51.5546875" bestFit="1" customWidth="1"/>
    <col min="2" max="2" width="14.109375" bestFit="1" customWidth="1"/>
    <col min="3" max="4" width="21.88671875" bestFit="1" customWidth="1"/>
    <col min="5" max="5" width="51.5546875" bestFit="1" customWidth="1"/>
    <col min="6" max="6" width="13.77734375" bestFit="1" customWidth="1"/>
    <col min="7" max="7" width="21.44140625" bestFit="1" customWidth="1"/>
  </cols>
  <sheetData>
    <row r="3" spans="1:7" x14ac:dyDescent="0.3">
      <c r="A3" s="1" t="s">
        <v>1</v>
      </c>
      <c r="B3" t="s">
        <v>401</v>
      </c>
      <c r="C3" t="s">
        <v>402</v>
      </c>
      <c r="E3" s="7" t="str">
        <f>A3</f>
        <v>Item</v>
      </c>
      <c r="F3" s="7" t="str">
        <f t="shared" ref="F3:G18" si="0">B3</f>
        <v>Sum of Calories</v>
      </c>
      <c r="G3" s="7" t="str">
        <f t="shared" si="0"/>
        <v>Sum of Calories from Fat</v>
      </c>
    </row>
    <row r="4" spans="1:7" x14ac:dyDescent="0.3">
      <c r="A4" t="s">
        <v>257</v>
      </c>
      <c r="B4">
        <v>100</v>
      </c>
      <c r="C4">
        <v>20</v>
      </c>
      <c r="E4" t="str">
        <f t="shared" ref="E4:E67" si="1">A4</f>
        <v>1% Low Fat Milk Jug</v>
      </c>
      <c r="F4">
        <f t="shared" si="0"/>
        <v>100</v>
      </c>
      <c r="G4">
        <f t="shared" si="0"/>
        <v>20</v>
      </c>
    </row>
    <row r="5" spans="1:7" x14ac:dyDescent="0.3">
      <c r="A5" t="s">
        <v>215</v>
      </c>
      <c r="B5">
        <v>15</v>
      </c>
      <c r="C5">
        <v>0</v>
      </c>
      <c r="E5" t="str">
        <f t="shared" si="1"/>
        <v>Apple Slices</v>
      </c>
      <c r="F5">
        <f t="shared" si="0"/>
        <v>15</v>
      </c>
      <c r="G5">
        <f t="shared" si="0"/>
        <v>0</v>
      </c>
    </row>
    <row r="6" spans="1:7" x14ac:dyDescent="0.3">
      <c r="A6" t="s">
        <v>152</v>
      </c>
      <c r="B6">
        <v>430</v>
      </c>
      <c r="C6">
        <v>190</v>
      </c>
      <c r="E6" t="str">
        <f t="shared" si="1"/>
        <v>Bacon Buffalo Ranch McChicken</v>
      </c>
      <c r="F6">
        <f t="shared" si="0"/>
        <v>430</v>
      </c>
      <c r="G6">
        <f t="shared" si="0"/>
        <v>190</v>
      </c>
    </row>
    <row r="7" spans="1:7" x14ac:dyDescent="0.3">
      <c r="A7" t="s">
        <v>150</v>
      </c>
      <c r="B7">
        <v>480</v>
      </c>
      <c r="C7">
        <v>220</v>
      </c>
      <c r="E7" t="str">
        <f t="shared" si="1"/>
        <v>Bacon Cheddar McChicken</v>
      </c>
      <c r="F7">
        <f t="shared" si="0"/>
        <v>480</v>
      </c>
      <c r="G7">
        <f t="shared" si="0"/>
        <v>220</v>
      </c>
    </row>
    <row r="8" spans="1:7" x14ac:dyDescent="0.3">
      <c r="A8" t="s">
        <v>120</v>
      </c>
      <c r="B8">
        <v>720</v>
      </c>
      <c r="C8">
        <v>360</v>
      </c>
      <c r="E8" t="str">
        <f t="shared" si="1"/>
        <v>Bacon Clubhouse Burger</v>
      </c>
      <c r="F8">
        <f t="shared" si="0"/>
        <v>720</v>
      </c>
      <c r="G8">
        <f t="shared" si="0"/>
        <v>360</v>
      </c>
    </row>
    <row r="9" spans="1:7" x14ac:dyDescent="0.3">
      <c r="A9" t="s">
        <v>143</v>
      </c>
      <c r="B9">
        <v>750</v>
      </c>
      <c r="C9">
        <v>340</v>
      </c>
      <c r="E9" t="str">
        <f t="shared" si="1"/>
        <v>Bacon Clubhouse Crispy Chicken Sandwich</v>
      </c>
      <c r="F9">
        <f t="shared" si="0"/>
        <v>750</v>
      </c>
      <c r="G9">
        <f t="shared" si="0"/>
        <v>340</v>
      </c>
    </row>
    <row r="10" spans="1:7" x14ac:dyDescent="0.3">
      <c r="A10" t="s">
        <v>145</v>
      </c>
      <c r="B10">
        <v>590</v>
      </c>
      <c r="C10">
        <v>230</v>
      </c>
      <c r="E10" t="str">
        <f t="shared" si="1"/>
        <v>Bacon Clubhouse Grilled Chicken Sandwich</v>
      </c>
      <c r="F10">
        <f t="shared" si="0"/>
        <v>590</v>
      </c>
      <c r="G10">
        <f t="shared" si="0"/>
        <v>230</v>
      </c>
    </row>
    <row r="11" spans="1:7" x14ac:dyDescent="0.3">
      <c r="A11" t="s">
        <v>124</v>
      </c>
      <c r="B11">
        <v>440</v>
      </c>
      <c r="C11">
        <v>200</v>
      </c>
      <c r="E11" t="str">
        <f t="shared" si="1"/>
        <v>Bacon McDouble</v>
      </c>
      <c r="F11">
        <f t="shared" si="0"/>
        <v>440</v>
      </c>
      <c r="G11">
        <f t="shared" si="0"/>
        <v>200</v>
      </c>
    </row>
    <row r="12" spans="1:7" x14ac:dyDescent="0.3">
      <c r="A12" t="s">
        <v>70</v>
      </c>
      <c r="B12">
        <v>620</v>
      </c>
      <c r="C12">
        <v>280</v>
      </c>
      <c r="E12" t="str">
        <f t="shared" si="1"/>
        <v>Bacon, Egg &amp; Cheese Bagel</v>
      </c>
      <c r="F12">
        <f t="shared" si="0"/>
        <v>620</v>
      </c>
      <c r="G12">
        <f t="shared" si="0"/>
        <v>280</v>
      </c>
    </row>
    <row r="13" spans="1:7" x14ac:dyDescent="0.3">
      <c r="A13" t="s">
        <v>72</v>
      </c>
      <c r="B13">
        <v>570</v>
      </c>
      <c r="C13">
        <v>230</v>
      </c>
      <c r="E13" t="str">
        <f t="shared" si="1"/>
        <v>Bacon, Egg &amp; Cheese Bagel with Egg Whites</v>
      </c>
      <c r="F13">
        <f t="shared" si="0"/>
        <v>570</v>
      </c>
      <c r="G13">
        <f t="shared" si="0"/>
        <v>230</v>
      </c>
    </row>
    <row r="14" spans="1:7" x14ac:dyDescent="0.3">
      <c r="A14" t="s">
        <v>38</v>
      </c>
      <c r="B14">
        <v>520</v>
      </c>
      <c r="C14">
        <v>270</v>
      </c>
      <c r="E14" t="str">
        <f t="shared" si="1"/>
        <v>Bacon, Egg &amp; Cheese Biscuit (Large Biscuit)</v>
      </c>
      <c r="F14">
        <f t="shared" si="0"/>
        <v>520</v>
      </c>
      <c r="G14">
        <f t="shared" si="0"/>
        <v>270</v>
      </c>
    </row>
    <row r="15" spans="1:7" x14ac:dyDescent="0.3">
      <c r="A15" t="s">
        <v>36</v>
      </c>
      <c r="B15">
        <v>460</v>
      </c>
      <c r="C15">
        <v>230</v>
      </c>
      <c r="E15" t="str">
        <f t="shared" si="1"/>
        <v>Bacon, Egg &amp; Cheese Biscuit (Regular Biscuit)</v>
      </c>
      <c r="F15">
        <f t="shared" si="0"/>
        <v>460</v>
      </c>
      <c r="G15">
        <f t="shared" si="0"/>
        <v>230</v>
      </c>
    </row>
    <row r="16" spans="1:7" x14ac:dyDescent="0.3">
      <c r="A16" t="s">
        <v>42</v>
      </c>
      <c r="B16">
        <v>470</v>
      </c>
      <c r="C16">
        <v>220</v>
      </c>
      <c r="E16" t="str">
        <f t="shared" si="1"/>
        <v>Bacon, Egg &amp; Cheese Biscuit with Egg Whites (Large Biscuit)</v>
      </c>
      <c r="F16">
        <f t="shared" si="0"/>
        <v>470</v>
      </c>
      <c r="G16">
        <f t="shared" si="0"/>
        <v>220</v>
      </c>
    </row>
    <row r="17" spans="1:7" x14ac:dyDescent="0.3">
      <c r="A17" t="s">
        <v>40</v>
      </c>
      <c r="B17">
        <v>410</v>
      </c>
      <c r="C17">
        <v>180</v>
      </c>
      <c r="E17" t="str">
        <f t="shared" si="1"/>
        <v>Bacon, Egg &amp; Cheese Biscuit with Egg Whites (Regular Biscuit)</v>
      </c>
      <c r="F17">
        <f t="shared" si="0"/>
        <v>410</v>
      </c>
      <c r="G17">
        <f t="shared" si="0"/>
        <v>180</v>
      </c>
    </row>
    <row r="18" spans="1:7" x14ac:dyDescent="0.3">
      <c r="A18" t="s">
        <v>61</v>
      </c>
      <c r="B18">
        <v>460</v>
      </c>
      <c r="C18">
        <v>190</v>
      </c>
      <c r="E18" t="str">
        <f t="shared" si="1"/>
        <v>Bacon, Egg &amp; Cheese McGriddles</v>
      </c>
      <c r="F18">
        <f t="shared" si="0"/>
        <v>460</v>
      </c>
      <c r="G18">
        <f t="shared" si="0"/>
        <v>190</v>
      </c>
    </row>
    <row r="19" spans="1:7" x14ac:dyDescent="0.3">
      <c r="A19" t="s">
        <v>63</v>
      </c>
      <c r="B19">
        <v>400</v>
      </c>
      <c r="C19">
        <v>140</v>
      </c>
      <c r="E19" t="str">
        <f t="shared" si="1"/>
        <v>Bacon, Egg &amp; Cheese McGriddles with Egg Whites</v>
      </c>
      <c r="F19">
        <f t="shared" ref="F19:F82" si="2">B19</f>
        <v>400</v>
      </c>
      <c r="G19">
        <f t="shared" ref="G19:G82" si="3">C19</f>
        <v>140</v>
      </c>
    </row>
    <row r="20" spans="1:7" x14ac:dyDescent="0.3">
      <c r="A20" t="s">
        <v>220</v>
      </c>
      <c r="B20">
        <v>250</v>
      </c>
      <c r="C20">
        <v>110</v>
      </c>
      <c r="E20" t="str">
        <f t="shared" si="1"/>
        <v>Baked Apple Pie</v>
      </c>
      <c r="F20">
        <f t="shared" si="2"/>
        <v>250</v>
      </c>
      <c r="G20">
        <f t="shared" si="3"/>
        <v>110</v>
      </c>
    </row>
    <row r="21" spans="1:7" x14ac:dyDescent="0.3">
      <c r="A21" t="s">
        <v>77</v>
      </c>
      <c r="B21">
        <v>800</v>
      </c>
      <c r="C21">
        <v>470</v>
      </c>
      <c r="E21" t="str">
        <f t="shared" si="1"/>
        <v>Big Breakfast (Large Biscuit)</v>
      </c>
      <c r="F21">
        <f t="shared" si="2"/>
        <v>800</v>
      </c>
      <c r="G21">
        <f t="shared" si="3"/>
        <v>470</v>
      </c>
    </row>
    <row r="22" spans="1:7" x14ac:dyDescent="0.3">
      <c r="A22" t="s">
        <v>75</v>
      </c>
      <c r="B22">
        <v>740</v>
      </c>
      <c r="C22">
        <v>430</v>
      </c>
      <c r="E22" t="str">
        <f t="shared" si="1"/>
        <v>Big Breakfast (Regular Biscuit)</v>
      </c>
      <c r="F22">
        <f t="shared" si="2"/>
        <v>740</v>
      </c>
      <c r="G22">
        <f t="shared" si="3"/>
        <v>430</v>
      </c>
    </row>
    <row r="23" spans="1:7" x14ac:dyDescent="0.3">
      <c r="A23" t="s">
        <v>81</v>
      </c>
      <c r="B23">
        <v>690</v>
      </c>
      <c r="C23">
        <v>370</v>
      </c>
      <c r="E23" t="str">
        <f t="shared" si="1"/>
        <v>Big Breakfast with Egg Whites (Large Biscuit)</v>
      </c>
      <c r="F23">
        <f t="shared" si="2"/>
        <v>690</v>
      </c>
      <c r="G23">
        <f t="shared" si="3"/>
        <v>370</v>
      </c>
    </row>
    <row r="24" spans="1:7" x14ac:dyDescent="0.3">
      <c r="A24" t="s">
        <v>79</v>
      </c>
      <c r="B24">
        <v>640</v>
      </c>
      <c r="C24">
        <v>330</v>
      </c>
      <c r="E24" t="str">
        <f t="shared" si="1"/>
        <v>Big Breakfast with Egg Whites (Regular Biscuit)</v>
      </c>
      <c r="F24">
        <f t="shared" si="2"/>
        <v>640</v>
      </c>
      <c r="G24">
        <f t="shared" si="3"/>
        <v>330</v>
      </c>
    </row>
    <row r="25" spans="1:7" x14ac:dyDescent="0.3">
      <c r="A25" t="s">
        <v>85</v>
      </c>
      <c r="B25">
        <v>1150</v>
      </c>
      <c r="C25">
        <v>540</v>
      </c>
      <c r="E25" t="str">
        <f t="shared" si="1"/>
        <v>Big Breakfast with Hotcakes (Large Biscuit)</v>
      </c>
      <c r="F25">
        <f t="shared" si="2"/>
        <v>1150</v>
      </c>
      <c r="G25">
        <f t="shared" si="3"/>
        <v>540</v>
      </c>
    </row>
    <row r="26" spans="1:7" x14ac:dyDescent="0.3">
      <c r="A26" t="s">
        <v>83</v>
      </c>
      <c r="B26">
        <v>1090</v>
      </c>
      <c r="C26">
        <v>510</v>
      </c>
      <c r="E26" t="str">
        <f t="shared" si="1"/>
        <v>Big Breakfast with Hotcakes (Regular Biscuit)</v>
      </c>
      <c r="F26">
        <f t="shared" si="2"/>
        <v>1090</v>
      </c>
      <c r="G26">
        <f t="shared" si="3"/>
        <v>510</v>
      </c>
    </row>
    <row r="27" spans="1:7" x14ac:dyDescent="0.3">
      <c r="A27" t="s">
        <v>89</v>
      </c>
      <c r="B27">
        <v>1050</v>
      </c>
      <c r="C27">
        <v>450</v>
      </c>
      <c r="E27" t="str">
        <f t="shared" si="1"/>
        <v>Big Breakfast with Hotcakes and Egg Whites (Large Biscuit)</v>
      </c>
      <c r="F27">
        <f t="shared" si="2"/>
        <v>1050</v>
      </c>
      <c r="G27">
        <f t="shared" si="3"/>
        <v>450</v>
      </c>
    </row>
    <row r="28" spans="1:7" x14ac:dyDescent="0.3">
      <c r="A28" t="s">
        <v>87</v>
      </c>
      <c r="B28">
        <v>990</v>
      </c>
      <c r="C28">
        <v>410</v>
      </c>
      <c r="E28" t="str">
        <f t="shared" si="1"/>
        <v>Big Breakfast with Hotcakes and Egg Whites (Regular Biscuit)</v>
      </c>
      <c r="F28">
        <f t="shared" si="2"/>
        <v>990</v>
      </c>
      <c r="G28">
        <f t="shared" si="3"/>
        <v>410</v>
      </c>
    </row>
    <row r="29" spans="1:7" x14ac:dyDescent="0.3">
      <c r="A29" t="s">
        <v>104</v>
      </c>
      <c r="B29">
        <v>530</v>
      </c>
      <c r="C29">
        <v>240</v>
      </c>
      <c r="E29" t="str">
        <f t="shared" si="1"/>
        <v>Big Mac</v>
      </c>
      <c r="F29">
        <f t="shared" si="2"/>
        <v>530</v>
      </c>
      <c r="G29">
        <f t="shared" si="3"/>
        <v>240</v>
      </c>
    </row>
    <row r="30" spans="1:7" x14ac:dyDescent="0.3">
      <c r="A30" t="s">
        <v>369</v>
      </c>
      <c r="B30">
        <v>340</v>
      </c>
      <c r="C30">
        <v>10</v>
      </c>
      <c r="E30" t="str">
        <f t="shared" si="1"/>
        <v>Blueberry Pomegranate Smoothie (Large)</v>
      </c>
      <c r="F30">
        <f t="shared" si="2"/>
        <v>340</v>
      </c>
      <c r="G30">
        <f t="shared" si="3"/>
        <v>10</v>
      </c>
    </row>
    <row r="31" spans="1:7" x14ac:dyDescent="0.3">
      <c r="A31" t="s">
        <v>368</v>
      </c>
      <c r="B31">
        <v>260</v>
      </c>
      <c r="C31">
        <v>5</v>
      </c>
      <c r="E31" t="str">
        <f t="shared" si="1"/>
        <v>Blueberry Pomegranate Smoothie (Medium)</v>
      </c>
      <c r="F31">
        <f t="shared" si="2"/>
        <v>260</v>
      </c>
      <c r="G31">
        <f t="shared" si="3"/>
        <v>5</v>
      </c>
    </row>
    <row r="32" spans="1:7" x14ac:dyDescent="0.3">
      <c r="A32" t="s">
        <v>367</v>
      </c>
      <c r="B32">
        <v>220</v>
      </c>
      <c r="C32">
        <v>5</v>
      </c>
      <c r="E32" t="str">
        <f t="shared" si="1"/>
        <v>Blueberry Pomegranate Smoothie (Small)</v>
      </c>
      <c r="F32">
        <f t="shared" si="2"/>
        <v>220</v>
      </c>
      <c r="G32">
        <f t="shared" si="3"/>
        <v>5</v>
      </c>
    </row>
    <row r="33" spans="1:7" x14ac:dyDescent="0.3">
      <c r="A33" t="s">
        <v>153</v>
      </c>
      <c r="B33">
        <v>360</v>
      </c>
      <c r="C33">
        <v>150</v>
      </c>
      <c r="E33" t="str">
        <f t="shared" si="1"/>
        <v>Buffalo Ranch McChicken</v>
      </c>
      <c r="F33">
        <f t="shared" si="2"/>
        <v>360</v>
      </c>
      <c r="G33">
        <f t="shared" si="3"/>
        <v>150</v>
      </c>
    </row>
    <row r="34" spans="1:7" x14ac:dyDescent="0.3">
      <c r="A34" t="s">
        <v>335</v>
      </c>
      <c r="B34">
        <v>260</v>
      </c>
      <c r="C34">
        <v>80</v>
      </c>
      <c r="E34" t="str">
        <f t="shared" si="1"/>
        <v>Caramel Iced Coffee (Large)</v>
      </c>
      <c r="F34">
        <f t="shared" si="2"/>
        <v>260</v>
      </c>
      <c r="G34">
        <f t="shared" si="3"/>
        <v>80</v>
      </c>
    </row>
    <row r="35" spans="1:7" x14ac:dyDescent="0.3">
      <c r="A35" t="s">
        <v>334</v>
      </c>
      <c r="B35">
        <v>180</v>
      </c>
      <c r="C35">
        <v>60</v>
      </c>
      <c r="E35" t="str">
        <f t="shared" si="1"/>
        <v>Caramel Iced Coffee (Medium)</v>
      </c>
      <c r="F35">
        <f t="shared" si="2"/>
        <v>180</v>
      </c>
      <c r="G35">
        <f t="shared" si="3"/>
        <v>60</v>
      </c>
    </row>
    <row r="36" spans="1:7" x14ac:dyDescent="0.3">
      <c r="A36" t="s">
        <v>333</v>
      </c>
      <c r="B36">
        <v>130</v>
      </c>
      <c r="C36">
        <v>40</v>
      </c>
      <c r="E36" t="str">
        <f t="shared" si="1"/>
        <v>Caramel Iced Coffee (Small)</v>
      </c>
      <c r="F36">
        <f t="shared" si="2"/>
        <v>130</v>
      </c>
      <c r="G36">
        <f t="shared" si="3"/>
        <v>40</v>
      </c>
    </row>
    <row r="37" spans="1:7" x14ac:dyDescent="0.3">
      <c r="A37" t="s">
        <v>286</v>
      </c>
      <c r="B37">
        <v>430</v>
      </c>
      <c r="C37">
        <v>120</v>
      </c>
      <c r="E37" t="str">
        <f t="shared" si="1"/>
        <v>Caramel Latte (Large)</v>
      </c>
      <c r="F37">
        <f t="shared" si="2"/>
        <v>430</v>
      </c>
      <c r="G37">
        <f t="shared" si="3"/>
        <v>120</v>
      </c>
    </row>
    <row r="38" spans="1:7" x14ac:dyDescent="0.3">
      <c r="A38" t="s">
        <v>285</v>
      </c>
      <c r="B38">
        <v>340</v>
      </c>
      <c r="C38">
        <v>90</v>
      </c>
      <c r="E38" t="str">
        <f t="shared" si="1"/>
        <v>Caramel Latte (Medium)</v>
      </c>
      <c r="F38">
        <f t="shared" si="2"/>
        <v>340</v>
      </c>
      <c r="G38">
        <f t="shared" si="3"/>
        <v>90</v>
      </c>
    </row>
    <row r="39" spans="1:7" x14ac:dyDescent="0.3">
      <c r="A39" t="s">
        <v>284</v>
      </c>
      <c r="B39">
        <v>270</v>
      </c>
      <c r="C39">
        <v>80</v>
      </c>
      <c r="E39" t="str">
        <f t="shared" si="1"/>
        <v>Caramel Latte (Small)</v>
      </c>
      <c r="F39">
        <f t="shared" si="2"/>
        <v>270</v>
      </c>
      <c r="G39">
        <f t="shared" si="3"/>
        <v>80</v>
      </c>
    </row>
    <row r="40" spans="1:7" x14ac:dyDescent="0.3">
      <c r="A40" t="s">
        <v>319</v>
      </c>
      <c r="B40">
        <v>480</v>
      </c>
      <c r="C40">
        <v>150</v>
      </c>
      <c r="E40" t="str">
        <f t="shared" si="1"/>
        <v>Caramel Mocha (Large)</v>
      </c>
      <c r="F40">
        <f t="shared" si="2"/>
        <v>480</v>
      </c>
      <c r="G40">
        <f t="shared" si="3"/>
        <v>150</v>
      </c>
    </row>
    <row r="41" spans="1:7" x14ac:dyDescent="0.3">
      <c r="A41" t="s">
        <v>318</v>
      </c>
      <c r="B41">
        <v>390</v>
      </c>
      <c r="C41">
        <v>120</v>
      </c>
      <c r="E41" t="str">
        <f t="shared" si="1"/>
        <v>Caramel Mocha (Medium)</v>
      </c>
      <c r="F41">
        <f t="shared" si="2"/>
        <v>390</v>
      </c>
      <c r="G41">
        <f t="shared" si="3"/>
        <v>120</v>
      </c>
    </row>
    <row r="42" spans="1:7" x14ac:dyDescent="0.3">
      <c r="A42" t="s">
        <v>317</v>
      </c>
      <c r="B42">
        <v>320</v>
      </c>
      <c r="C42">
        <v>100</v>
      </c>
      <c r="E42" t="str">
        <f t="shared" si="1"/>
        <v>Caramel Mocha (Small)</v>
      </c>
      <c r="F42">
        <f t="shared" si="2"/>
        <v>320</v>
      </c>
      <c r="G42">
        <f t="shared" si="3"/>
        <v>100</v>
      </c>
    </row>
    <row r="43" spans="1:7" x14ac:dyDescent="0.3">
      <c r="A43" t="s">
        <v>117</v>
      </c>
      <c r="B43">
        <v>290</v>
      </c>
      <c r="C43">
        <v>100</v>
      </c>
      <c r="E43" t="str">
        <f t="shared" si="1"/>
        <v>Cheeseburger</v>
      </c>
      <c r="F43">
        <f t="shared" si="2"/>
        <v>290</v>
      </c>
      <c r="G43">
        <f t="shared" si="3"/>
        <v>100</v>
      </c>
    </row>
    <row r="44" spans="1:7" x14ac:dyDescent="0.3">
      <c r="A44" t="s">
        <v>175</v>
      </c>
      <c r="B44">
        <v>470</v>
      </c>
      <c r="C44">
        <v>270</v>
      </c>
      <c r="E44" t="str">
        <f t="shared" si="1"/>
        <v>Chicken McNuggets (10 piece)</v>
      </c>
      <c r="F44">
        <f t="shared" si="2"/>
        <v>470</v>
      </c>
      <c r="G44">
        <f t="shared" si="3"/>
        <v>270</v>
      </c>
    </row>
    <row r="45" spans="1:7" x14ac:dyDescent="0.3">
      <c r="A45" t="s">
        <v>177</v>
      </c>
      <c r="B45">
        <v>940</v>
      </c>
      <c r="C45">
        <v>530</v>
      </c>
      <c r="E45" t="str">
        <f t="shared" si="1"/>
        <v>Chicken McNuggets (20 piece)</v>
      </c>
      <c r="F45">
        <f t="shared" si="2"/>
        <v>940</v>
      </c>
      <c r="G45">
        <f t="shared" si="3"/>
        <v>530</v>
      </c>
    </row>
    <row r="46" spans="1:7" x14ac:dyDescent="0.3">
      <c r="A46" t="s">
        <v>171</v>
      </c>
      <c r="B46">
        <v>190</v>
      </c>
      <c r="C46">
        <v>110</v>
      </c>
      <c r="E46" t="str">
        <f t="shared" si="1"/>
        <v>Chicken McNuggets (4 piece)</v>
      </c>
      <c r="F46">
        <f t="shared" si="2"/>
        <v>190</v>
      </c>
      <c r="G46">
        <f t="shared" si="3"/>
        <v>110</v>
      </c>
    </row>
    <row r="47" spans="1:7" x14ac:dyDescent="0.3">
      <c r="A47" t="s">
        <v>179</v>
      </c>
      <c r="B47">
        <v>1880</v>
      </c>
      <c r="C47">
        <v>1060</v>
      </c>
      <c r="E47" t="str">
        <f t="shared" si="1"/>
        <v>Chicken McNuggets (40 piece)</v>
      </c>
      <c r="F47">
        <f t="shared" si="2"/>
        <v>1880</v>
      </c>
      <c r="G47">
        <f t="shared" si="3"/>
        <v>1060</v>
      </c>
    </row>
    <row r="48" spans="1:7" x14ac:dyDescent="0.3">
      <c r="A48" t="s">
        <v>173</v>
      </c>
      <c r="B48">
        <v>280</v>
      </c>
      <c r="C48">
        <v>160</v>
      </c>
      <c r="E48" t="str">
        <f t="shared" si="1"/>
        <v>Chicken McNuggets (6 piece)</v>
      </c>
      <c r="F48">
        <f t="shared" si="2"/>
        <v>280</v>
      </c>
      <c r="G48">
        <f t="shared" si="3"/>
        <v>160</v>
      </c>
    </row>
    <row r="49" spans="1:7" x14ac:dyDescent="0.3">
      <c r="A49" t="s">
        <v>195</v>
      </c>
      <c r="B49">
        <v>340</v>
      </c>
      <c r="C49">
        <v>130</v>
      </c>
      <c r="E49" t="str">
        <f t="shared" si="1"/>
        <v>Chipotle BBQ Snack Wrap (Crispy Chicken)</v>
      </c>
      <c r="F49">
        <f t="shared" si="2"/>
        <v>340</v>
      </c>
      <c r="G49">
        <f t="shared" si="3"/>
        <v>130</v>
      </c>
    </row>
    <row r="50" spans="1:7" x14ac:dyDescent="0.3">
      <c r="A50" t="s">
        <v>197</v>
      </c>
      <c r="B50">
        <v>260</v>
      </c>
      <c r="C50">
        <v>70</v>
      </c>
      <c r="E50" t="str">
        <f t="shared" si="1"/>
        <v>Chipotle BBQ Snack Wrap (Grilled Chicken)</v>
      </c>
      <c r="F50">
        <f t="shared" si="2"/>
        <v>260</v>
      </c>
      <c r="G50">
        <f t="shared" si="3"/>
        <v>70</v>
      </c>
    </row>
    <row r="51" spans="1:7" x14ac:dyDescent="0.3">
      <c r="A51" t="s">
        <v>222</v>
      </c>
      <c r="B51">
        <v>160</v>
      </c>
      <c r="C51">
        <v>70</v>
      </c>
      <c r="E51" t="str">
        <f t="shared" si="1"/>
        <v>Chocolate Chip Cookie</v>
      </c>
      <c r="F51">
        <f t="shared" si="2"/>
        <v>160</v>
      </c>
      <c r="G51">
        <f t="shared" si="3"/>
        <v>70</v>
      </c>
    </row>
    <row r="52" spans="1:7" x14ac:dyDescent="0.3">
      <c r="A52" t="s">
        <v>384</v>
      </c>
      <c r="B52">
        <v>850</v>
      </c>
      <c r="C52">
        <v>210</v>
      </c>
      <c r="E52" t="str">
        <f t="shared" si="1"/>
        <v>Chocolate Shake (Large)</v>
      </c>
      <c r="F52">
        <f t="shared" si="2"/>
        <v>850</v>
      </c>
      <c r="G52">
        <f t="shared" si="3"/>
        <v>210</v>
      </c>
    </row>
    <row r="53" spans="1:7" x14ac:dyDescent="0.3">
      <c r="A53" t="s">
        <v>383</v>
      </c>
      <c r="B53">
        <v>700</v>
      </c>
      <c r="C53">
        <v>180</v>
      </c>
      <c r="E53" t="str">
        <f t="shared" si="1"/>
        <v>Chocolate Shake (Medium)</v>
      </c>
      <c r="F53">
        <f t="shared" si="2"/>
        <v>700</v>
      </c>
      <c r="G53">
        <f t="shared" si="3"/>
        <v>180</v>
      </c>
    </row>
    <row r="54" spans="1:7" x14ac:dyDescent="0.3">
      <c r="A54" t="s">
        <v>382</v>
      </c>
      <c r="B54">
        <v>560</v>
      </c>
      <c r="C54">
        <v>150</v>
      </c>
      <c r="E54" t="str">
        <f t="shared" si="1"/>
        <v>Chocolate Shake (Small)</v>
      </c>
      <c r="F54">
        <f t="shared" si="2"/>
        <v>560</v>
      </c>
      <c r="G54">
        <f t="shared" si="3"/>
        <v>150</v>
      </c>
    </row>
    <row r="55" spans="1:7" x14ac:dyDescent="0.3">
      <c r="A55" t="s">
        <v>98</v>
      </c>
      <c r="B55">
        <v>460</v>
      </c>
      <c r="C55">
        <v>170</v>
      </c>
      <c r="E55" t="str">
        <f t="shared" si="1"/>
        <v>Cinnamon Melts</v>
      </c>
      <c r="F55">
        <f t="shared" si="2"/>
        <v>460</v>
      </c>
      <c r="G55">
        <f t="shared" si="3"/>
        <v>170</v>
      </c>
    </row>
    <row r="56" spans="1:7" x14ac:dyDescent="0.3">
      <c r="A56" t="s">
        <v>239</v>
      </c>
      <c r="B56">
        <v>100</v>
      </c>
      <c r="C56">
        <v>0</v>
      </c>
      <c r="E56" t="str">
        <f t="shared" si="1"/>
        <v>Coca-Cola Classic (Child)</v>
      </c>
      <c r="F56">
        <f t="shared" si="2"/>
        <v>100</v>
      </c>
      <c r="G56">
        <f t="shared" si="3"/>
        <v>0</v>
      </c>
    </row>
    <row r="57" spans="1:7" x14ac:dyDescent="0.3">
      <c r="A57" t="s">
        <v>237</v>
      </c>
      <c r="B57">
        <v>280</v>
      </c>
      <c r="C57">
        <v>0</v>
      </c>
      <c r="E57" t="str">
        <f t="shared" si="1"/>
        <v>Coca-Cola Classic (Large)</v>
      </c>
      <c r="F57">
        <f t="shared" si="2"/>
        <v>280</v>
      </c>
      <c r="G57">
        <f t="shared" si="3"/>
        <v>0</v>
      </c>
    </row>
    <row r="58" spans="1:7" x14ac:dyDescent="0.3">
      <c r="A58" t="s">
        <v>235</v>
      </c>
      <c r="B58">
        <v>200</v>
      </c>
      <c r="C58">
        <v>0</v>
      </c>
      <c r="E58" t="str">
        <f t="shared" si="1"/>
        <v>Coca-Cola Classic (Medium)</v>
      </c>
      <c r="F58">
        <f t="shared" si="2"/>
        <v>200</v>
      </c>
      <c r="G58">
        <f t="shared" si="3"/>
        <v>0</v>
      </c>
    </row>
    <row r="59" spans="1:7" x14ac:dyDescent="0.3">
      <c r="A59" t="s">
        <v>233</v>
      </c>
      <c r="B59">
        <v>140</v>
      </c>
      <c r="C59">
        <v>0</v>
      </c>
      <c r="E59" t="str">
        <f t="shared" si="1"/>
        <v>Coca-Cola Classic (Small)</v>
      </c>
      <c r="F59">
        <f t="shared" si="2"/>
        <v>140</v>
      </c>
      <c r="G59">
        <f t="shared" si="3"/>
        <v>0</v>
      </c>
    </row>
    <row r="60" spans="1:7" x14ac:dyDescent="0.3">
      <c r="A60" t="s">
        <v>279</v>
      </c>
      <c r="B60">
        <v>0</v>
      </c>
      <c r="C60">
        <v>0</v>
      </c>
      <c r="E60" t="str">
        <f t="shared" si="1"/>
        <v>Coffee (Large)</v>
      </c>
      <c r="F60">
        <f t="shared" si="2"/>
        <v>0</v>
      </c>
      <c r="G60">
        <f t="shared" si="3"/>
        <v>0</v>
      </c>
    </row>
    <row r="61" spans="1:7" x14ac:dyDescent="0.3">
      <c r="A61" t="s">
        <v>278</v>
      </c>
      <c r="B61">
        <v>0</v>
      </c>
      <c r="C61">
        <v>0</v>
      </c>
      <c r="E61" t="str">
        <f t="shared" si="1"/>
        <v>Coffee (Medium)</v>
      </c>
      <c r="F61">
        <f t="shared" si="2"/>
        <v>0</v>
      </c>
      <c r="G61">
        <f t="shared" si="3"/>
        <v>0</v>
      </c>
    </row>
    <row r="62" spans="1:7" x14ac:dyDescent="0.3">
      <c r="A62" t="s">
        <v>277</v>
      </c>
      <c r="B62">
        <v>0</v>
      </c>
      <c r="C62">
        <v>0</v>
      </c>
      <c r="E62" t="str">
        <f t="shared" si="1"/>
        <v>Coffee (Small)</v>
      </c>
      <c r="F62">
        <f t="shared" si="2"/>
        <v>0</v>
      </c>
      <c r="G62">
        <f t="shared" si="3"/>
        <v>0</v>
      </c>
    </row>
    <row r="63" spans="1:7" x14ac:dyDescent="0.3">
      <c r="A63" t="s">
        <v>125</v>
      </c>
      <c r="B63">
        <v>430</v>
      </c>
      <c r="C63">
        <v>200</v>
      </c>
      <c r="E63" t="str">
        <f t="shared" si="1"/>
        <v>Daily Double</v>
      </c>
      <c r="F63">
        <f t="shared" si="2"/>
        <v>430</v>
      </c>
      <c r="G63">
        <f t="shared" si="3"/>
        <v>200</v>
      </c>
    </row>
    <row r="64" spans="1:7" x14ac:dyDescent="0.3">
      <c r="A64" t="s">
        <v>266</v>
      </c>
      <c r="B64">
        <v>0</v>
      </c>
      <c r="C64">
        <v>0</v>
      </c>
      <c r="E64" t="str">
        <f t="shared" si="1"/>
        <v>Dasani Water Bottle</v>
      </c>
      <c r="F64">
        <f t="shared" si="2"/>
        <v>0</v>
      </c>
      <c r="G64">
        <f t="shared" si="3"/>
        <v>0</v>
      </c>
    </row>
    <row r="65" spans="1:7" x14ac:dyDescent="0.3">
      <c r="A65" t="s">
        <v>244</v>
      </c>
      <c r="B65">
        <v>0</v>
      </c>
      <c r="C65">
        <v>0</v>
      </c>
      <c r="E65" t="str">
        <f t="shared" si="1"/>
        <v>Diet Coke (Child)</v>
      </c>
      <c r="F65">
        <f t="shared" si="2"/>
        <v>0</v>
      </c>
      <c r="G65">
        <f t="shared" si="3"/>
        <v>0</v>
      </c>
    </row>
    <row r="66" spans="1:7" x14ac:dyDescent="0.3">
      <c r="A66" t="s">
        <v>243</v>
      </c>
      <c r="B66">
        <v>0</v>
      </c>
      <c r="C66">
        <v>0</v>
      </c>
      <c r="E66" t="str">
        <f t="shared" si="1"/>
        <v>Diet Coke (Large)</v>
      </c>
      <c r="F66">
        <f t="shared" si="2"/>
        <v>0</v>
      </c>
      <c r="G66">
        <f t="shared" si="3"/>
        <v>0</v>
      </c>
    </row>
    <row r="67" spans="1:7" x14ac:dyDescent="0.3">
      <c r="A67" t="s">
        <v>242</v>
      </c>
      <c r="B67">
        <v>0</v>
      </c>
      <c r="C67">
        <v>0</v>
      </c>
      <c r="E67" t="str">
        <f t="shared" si="1"/>
        <v>Diet Coke (Medium)</v>
      </c>
      <c r="F67">
        <f t="shared" si="2"/>
        <v>0</v>
      </c>
      <c r="G67">
        <f t="shared" si="3"/>
        <v>0</v>
      </c>
    </row>
    <row r="68" spans="1:7" x14ac:dyDescent="0.3">
      <c r="A68" t="s">
        <v>241</v>
      </c>
      <c r="B68">
        <v>0</v>
      </c>
      <c r="C68">
        <v>0</v>
      </c>
      <c r="E68" t="str">
        <f t="shared" ref="E68:E131" si="4">A68</f>
        <v>Diet Coke (Small)</v>
      </c>
      <c r="F68">
        <f t="shared" si="2"/>
        <v>0</v>
      </c>
      <c r="G68">
        <f t="shared" si="3"/>
        <v>0</v>
      </c>
    </row>
    <row r="69" spans="1:7" x14ac:dyDescent="0.3">
      <c r="A69" t="s">
        <v>252</v>
      </c>
      <c r="B69">
        <v>0</v>
      </c>
      <c r="C69">
        <v>0</v>
      </c>
      <c r="E69" t="str">
        <f t="shared" si="4"/>
        <v>Diet Dr Pepper (Child)</v>
      </c>
      <c r="F69">
        <f t="shared" si="2"/>
        <v>0</v>
      </c>
      <c r="G69">
        <f t="shared" si="3"/>
        <v>0</v>
      </c>
    </row>
    <row r="70" spans="1:7" x14ac:dyDescent="0.3">
      <c r="A70" t="s">
        <v>251</v>
      </c>
      <c r="B70">
        <v>0</v>
      </c>
      <c r="C70">
        <v>0</v>
      </c>
      <c r="E70" t="str">
        <f t="shared" si="4"/>
        <v>Diet Dr Pepper (Large)</v>
      </c>
      <c r="F70">
        <f t="shared" si="2"/>
        <v>0</v>
      </c>
      <c r="G70">
        <f t="shared" si="3"/>
        <v>0</v>
      </c>
    </row>
    <row r="71" spans="1:7" x14ac:dyDescent="0.3">
      <c r="A71" t="s">
        <v>250</v>
      </c>
      <c r="B71">
        <v>0</v>
      </c>
      <c r="C71">
        <v>0</v>
      </c>
      <c r="E71" t="str">
        <f t="shared" si="4"/>
        <v>Diet Dr Pepper (Medium)</v>
      </c>
      <c r="F71">
        <f t="shared" si="2"/>
        <v>0</v>
      </c>
      <c r="G71">
        <f t="shared" si="3"/>
        <v>0</v>
      </c>
    </row>
    <row r="72" spans="1:7" x14ac:dyDescent="0.3">
      <c r="A72" t="s">
        <v>249</v>
      </c>
      <c r="B72">
        <v>0</v>
      </c>
      <c r="C72">
        <v>0</v>
      </c>
      <c r="E72" t="str">
        <f t="shared" si="4"/>
        <v>Diet Dr Pepper (Small)</v>
      </c>
      <c r="F72">
        <f t="shared" si="2"/>
        <v>0</v>
      </c>
      <c r="G72">
        <f t="shared" si="3"/>
        <v>0</v>
      </c>
    </row>
    <row r="73" spans="1:7" x14ac:dyDescent="0.3">
      <c r="A73" t="s">
        <v>119</v>
      </c>
      <c r="B73">
        <v>430</v>
      </c>
      <c r="C73">
        <v>190</v>
      </c>
      <c r="E73" t="str">
        <f t="shared" si="4"/>
        <v>Double Cheeseburger</v>
      </c>
      <c r="F73">
        <f t="shared" si="2"/>
        <v>430</v>
      </c>
      <c r="G73">
        <f t="shared" si="3"/>
        <v>190</v>
      </c>
    </row>
    <row r="74" spans="1:7" x14ac:dyDescent="0.3">
      <c r="A74" t="s">
        <v>114</v>
      </c>
      <c r="B74">
        <v>750</v>
      </c>
      <c r="C74">
        <v>380</v>
      </c>
      <c r="E74" t="str">
        <f t="shared" si="4"/>
        <v>Double Quarter Pounder with Cheese</v>
      </c>
      <c r="F74">
        <f t="shared" si="2"/>
        <v>750</v>
      </c>
      <c r="G74">
        <f t="shared" si="3"/>
        <v>380</v>
      </c>
    </row>
    <row r="75" spans="1:7" x14ac:dyDescent="0.3">
      <c r="A75" t="s">
        <v>248</v>
      </c>
      <c r="B75">
        <v>100</v>
      </c>
      <c r="C75">
        <v>0</v>
      </c>
      <c r="E75" t="str">
        <f t="shared" si="4"/>
        <v>Dr Pepper (Child)</v>
      </c>
      <c r="F75">
        <f t="shared" si="2"/>
        <v>100</v>
      </c>
      <c r="G75">
        <f t="shared" si="3"/>
        <v>0</v>
      </c>
    </row>
    <row r="76" spans="1:7" x14ac:dyDescent="0.3">
      <c r="A76" t="s">
        <v>247</v>
      </c>
      <c r="B76">
        <v>270</v>
      </c>
      <c r="C76">
        <v>0</v>
      </c>
      <c r="E76" t="str">
        <f t="shared" si="4"/>
        <v>Dr Pepper (Large)</v>
      </c>
      <c r="F76">
        <f t="shared" si="2"/>
        <v>270</v>
      </c>
      <c r="G76">
        <f t="shared" si="3"/>
        <v>0</v>
      </c>
    </row>
    <row r="77" spans="1:7" x14ac:dyDescent="0.3">
      <c r="A77" t="s">
        <v>246</v>
      </c>
      <c r="B77">
        <v>190</v>
      </c>
      <c r="C77">
        <v>0</v>
      </c>
      <c r="E77" t="str">
        <f t="shared" si="4"/>
        <v>Dr Pepper (Medium)</v>
      </c>
      <c r="F77">
        <f t="shared" si="2"/>
        <v>190</v>
      </c>
      <c r="G77">
        <f t="shared" si="3"/>
        <v>0</v>
      </c>
    </row>
    <row r="78" spans="1:7" x14ac:dyDescent="0.3">
      <c r="A78" t="s">
        <v>245</v>
      </c>
      <c r="B78">
        <v>140</v>
      </c>
      <c r="C78">
        <v>0</v>
      </c>
      <c r="E78" t="str">
        <f t="shared" si="4"/>
        <v>Dr Pepper (Small)</v>
      </c>
      <c r="F78">
        <f t="shared" si="2"/>
        <v>140</v>
      </c>
      <c r="G78">
        <f t="shared" si="3"/>
        <v>0</v>
      </c>
    </row>
    <row r="79" spans="1:7" x14ac:dyDescent="0.3">
      <c r="A79" t="s">
        <v>25</v>
      </c>
      <c r="B79">
        <v>300</v>
      </c>
      <c r="C79">
        <v>120</v>
      </c>
      <c r="E79" t="str">
        <f t="shared" si="4"/>
        <v>Egg McMuffin</v>
      </c>
      <c r="F79">
        <f t="shared" si="2"/>
        <v>300</v>
      </c>
      <c r="G79">
        <f t="shared" si="3"/>
        <v>120</v>
      </c>
    </row>
    <row r="80" spans="1:7" x14ac:dyDescent="0.3">
      <c r="A80" t="s">
        <v>27</v>
      </c>
      <c r="B80">
        <v>250</v>
      </c>
      <c r="C80">
        <v>70</v>
      </c>
      <c r="E80" t="str">
        <f t="shared" si="4"/>
        <v>Egg White Delight</v>
      </c>
      <c r="F80">
        <f t="shared" si="2"/>
        <v>250</v>
      </c>
      <c r="G80">
        <f t="shared" si="3"/>
        <v>70</v>
      </c>
    </row>
    <row r="81" spans="1:7" x14ac:dyDescent="0.3">
      <c r="A81" t="s">
        <v>259</v>
      </c>
      <c r="B81">
        <v>130</v>
      </c>
      <c r="C81">
        <v>0</v>
      </c>
      <c r="E81" t="str">
        <f t="shared" si="4"/>
        <v>Fat Free Chocolate Milk Jug</v>
      </c>
      <c r="F81">
        <f t="shared" si="2"/>
        <v>130</v>
      </c>
      <c r="G81">
        <f t="shared" si="3"/>
        <v>0</v>
      </c>
    </row>
    <row r="82" spans="1:7" x14ac:dyDescent="0.3">
      <c r="A82" t="s">
        <v>181</v>
      </c>
      <c r="B82">
        <v>390</v>
      </c>
      <c r="C82">
        <v>170</v>
      </c>
      <c r="E82" t="str">
        <f t="shared" si="4"/>
        <v>Filet-O-Fish</v>
      </c>
      <c r="F82">
        <f t="shared" si="2"/>
        <v>390</v>
      </c>
      <c r="G82">
        <f t="shared" si="3"/>
        <v>170</v>
      </c>
    </row>
    <row r="83" spans="1:7" x14ac:dyDescent="0.3">
      <c r="A83" t="s">
        <v>362</v>
      </c>
      <c r="B83">
        <v>670</v>
      </c>
      <c r="C83">
        <v>250</v>
      </c>
      <c r="E83" t="str">
        <f t="shared" si="4"/>
        <v>FrappÃ© Caramel (Large)</v>
      </c>
      <c r="F83">
        <f t="shared" ref="F83:F146" si="5">B83</f>
        <v>670</v>
      </c>
      <c r="G83">
        <f t="shared" ref="G83:G146" si="6">C83</f>
        <v>250</v>
      </c>
    </row>
    <row r="84" spans="1:7" x14ac:dyDescent="0.3">
      <c r="A84" t="s">
        <v>361</v>
      </c>
      <c r="B84">
        <v>550</v>
      </c>
      <c r="C84">
        <v>200</v>
      </c>
      <c r="E84" t="str">
        <f t="shared" si="4"/>
        <v>FrappÃ© Caramel (Medium)</v>
      </c>
      <c r="F84">
        <f t="shared" si="5"/>
        <v>550</v>
      </c>
      <c r="G84">
        <f t="shared" si="6"/>
        <v>200</v>
      </c>
    </row>
    <row r="85" spans="1:7" x14ac:dyDescent="0.3">
      <c r="A85" t="s">
        <v>360</v>
      </c>
      <c r="B85">
        <v>450</v>
      </c>
      <c r="C85">
        <v>170</v>
      </c>
      <c r="E85" t="str">
        <f t="shared" si="4"/>
        <v>FrappÃ© Caramel (Small)</v>
      </c>
      <c r="F85">
        <f t="shared" si="5"/>
        <v>450</v>
      </c>
      <c r="G85">
        <f t="shared" si="6"/>
        <v>170</v>
      </c>
    </row>
    <row r="86" spans="1:7" x14ac:dyDescent="0.3">
      <c r="A86" t="s">
        <v>365</v>
      </c>
      <c r="B86">
        <v>760</v>
      </c>
      <c r="C86">
        <v>280</v>
      </c>
      <c r="E86" t="str">
        <f t="shared" si="4"/>
        <v>FrappÃ© Chocolate Chip (Large)</v>
      </c>
      <c r="F86">
        <f t="shared" si="5"/>
        <v>760</v>
      </c>
      <c r="G86">
        <f t="shared" si="6"/>
        <v>280</v>
      </c>
    </row>
    <row r="87" spans="1:7" x14ac:dyDescent="0.3">
      <c r="A87" t="s">
        <v>364</v>
      </c>
      <c r="B87">
        <v>630</v>
      </c>
      <c r="C87">
        <v>240</v>
      </c>
      <c r="E87" t="str">
        <f t="shared" si="4"/>
        <v>FrappÃ© Chocolate Chip (Medium)</v>
      </c>
      <c r="F87">
        <f t="shared" si="5"/>
        <v>630</v>
      </c>
      <c r="G87">
        <f t="shared" si="6"/>
        <v>240</v>
      </c>
    </row>
    <row r="88" spans="1:7" x14ac:dyDescent="0.3">
      <c r="A88" t="s">
        <v>363</v>
      </c>
      <c r="B88">
        <v>530</v>
      </c>
      <c r="C88">
        <v>200</v>
      </c>
      <c r="E88" t="str">
        <f t="shared" si="4"/>
        <v>FrappÃ© Chocolate Chip (Small)</v>
      </c>
      <c r="F88">
        <f t="shared" si="5"/>
        <v>530</v>
      </c>
      <c r="G88">
        <f t="shared" si="6"/>
        <v>200</v>
      </c>
    </row>
    <row r="89" spans="1:7" x14ac:dyDescent="0.3">
      <c r="A89" t="s">
        <v>359</v>
      </c>
      <c r="B89">
        <v>670</v>
      </c>
      <c r="C89">
        <v>240</v>
      </c>
      <c r="E89" t="str">
        <f t="shared" si="4"/>
        <v>FrappÃ© Mocha (Large)</v>
      </c>
      <c r="F89">
        <f t="shared" si="5"/>
        <v>670</v>
      </c>
      <c r="G89">
        <f t="shared" si="6"/>
        <v>240</v>
      </c>
    </row>
    <row r="90" spans="1:7" x14ac:dyDescent="0.3">
      <c r="A90" t="s">
        <v>358</v>
      </c>
      <c r="B90">
        <v>550</v>
      </c>
      <c r="C90">
        <v>200</v>
      </c>
      <c r="E90" t="str">
        <f t="shared" si="4"/>
        <v>FrappÃ© Mocha (Medium)</v>
      </c>
      <c r="F90">
        <f t="shared" si="5"/>
        <v>550</v>
      </c>
      <c r="G90">
        <f t="shared" si="6"/>
        <v>200</v>
      </c>
    </row>
    <row r="91" spans="1:7" x14ac:dyDescent="0.3">
      <c r="A91" t="s">
        <v>357</v>
      </c>
      <c r="B91">
        <v>450</v>
      </c>
      <c r="C91">
        <v>160</v>
      </c>
      <c r="E91" t="str">
        <f t="shared" si="4"/>
        <v>FrappÃ© Mocha (Small)</v>
      </c>
      <c r="F91">
        <f t="shared" si="5"/>
        <v>450</v>
      </c>
      <c r="G91">
        <f t="shared" si="6"/>
        <v>160</v>
      </c>
    </row>
    <row r="92" spans="1:7" x14ac:dyDescent="0.3">
      <c r="A92" t="s">
        <v>341</v>
      </c>
      <c r="B92">
        <v>240</v>
      </c>
      <c r="C92">
        <v>80</v>
      </c>
      <c r="E92" t="str">
        <f t="shared" si="4"/>
        <v>French Vanilla Iced Coffee (Large)</v>
      </c>
      <c r="F92">
        <f t="shared" si="5"/>
        <v>240</v>
      </c>
      <c r="G92">
        <f t="shared" si="6"/>
        <v>80</v>
      </c>
    </row>
    <row r="93" spans="1:7" x14ac:dyDescent="0.3">
      <c r="A93" t="s">
        <v>340</v>
      </c>
      <c r="B93">
        <v>170</v>
      </c>
      <c r="C93">
        <v>60</v>
      </c>
      <c r="E93" t="str">
        <f t="shared" si="4"/>
        <v>French Vanilla Iced Coffee (Medium)</v>
      </c>
      <c r="F93">
        <f t="shared" si="5"/>
        <v>170</v>
      </c>
      <c r="G93">
        <f t="shared" si="6"/>
        <v>60</v>
      </c>
    </row>
    <row r="94" spans="1:7" x14ac:dyDescent="0.3">
      <c r="A94" t="s">
        <v>339</v>
      </c>
      <c r="B94">
        <v>120</v>
      </c>
      <c r="C94">
        <v>40</v>
      </c>
      <c r="E94" t="str">
        <f t="shared" si="4"/>
        <v>French Vanilla Iced Coffee (Small)</v>
      </c>
      <c r="F94">
        <f t="shared" si="5"/>
        <v>120</v>
      </c>
      <c r="G94">
        <f t="shared" si="6"/>
        <v>40</v>
      </c>
    </row>
    <row r="95" spans="1:7" x14ac:dyDescent="0.3">
      <c r="A95" t="s">
        <v>292</v>
      </c>
      <c r="B95">
        <v>420</v>
      </c>
      <c r="C95">
        <v>120</v>
      </c>
      <c r="E95" t="str">
        <f t="shared" si="4"/>
        <v>French Vanilla Latte (Large)</v>
      </c>
      <c r="F95">
        <f t="shared" si="5"/>
        <v>420</v>
      </c>
      <c r="G95">
        <f t="shared" si="6"/>
        <v>120</v>
      </c>
    </row>
    <row r="96" spans="1:7" x14ac:dyDescent="0.3">
      <c r="A96" t="s">
        <v>291</v>
      </c>
      <c r="B96">
        <v>330</v>
      </c>
      <c r="C96">
        <v>90</v>
      </c>
      <c r="E96" t="str">
        <f t="shared" si="4"/>
        <v>French Vanilla Latte (Medium)</v>
      </c>
      <c r="F96">
        <f t="shared" si="5"/>
        <v>330</v>
      </c>
      <c r="G96">
        <f t="shared" si="6"/>
        <v>90</v>
      </c>
    </row>
    <row r="97" spans="1:7" x14ac:dyDescent="0.3">
      <c r="A97" t="s">
        <v>290</v>
      </c>
      <c r="B97">
        <v>260</v>
      </c>
      <c r="C97">
        <v>80</v>
      </c>
      <c r="E97" t="str">
        <f t="shared" si="4"/>
        <v>French Vanilla Latte (Small)</v>
      </c>
      <c r="F97">
        <f t="shared" si="5"/>
        <v>260</v>
      </c>
      <c r="G97">
        <f t="shared" si="6"/>
        <v>80</v>
      </c>
    </row>
    <row r="98" spans="1:7" x14ac:dyDescent="0.3">
      <c r="A98" t="s">
        <v>100</v>
      </c>
      <c r="B98">
        <v>290</v>
      </c>
      <c r="C98">
        <v>35</v>
      </c>
      <c r="E98" t="str">
        <f t="shared" si="4"/>
        <v>Fruit &amp; Maple Oatmeal</v>
      </c>
      <c r="F98">
        <f t="shared" si="5"/>
        <v>290</v>
      </c>
      <c r="G98">
        <f t="shared" si="6"/>
        <v>35</v>
      </c>
    </row>
    <row r="99" spans="1:7" x14ac:dyDescent="0.3">
      <c r="A99" t="s">
        <v>102</v>
      </c>
      <c r="B99">
        <v>260</v>
      </c>
      <c r="C99">
        <v>40</v>
      </c>
      <c r="E99" t="str">
        <f t="shared" si="4"/>
        <v>Fruit &amp; Maple Oatmeal without Brown Sugar</v>
      </c>
      <c r="F99">
        <f t="shared" si="5"/>
        <v>260</v>
      </c>
      <c r="G99">
        <f t="shared" si="6"/>
        <v>40</v>
      </c>
    </row>
    <row r="100" spans="1:7" x14ac:dyDescent="0.3">
      <c r="A100" t="s">
        <v>217</v>
      </c>
      <c r="B100">
        <v>150</v>
      </c>
      <c r="C100">
        <v>20</v>
      </c>
      <c r="E100" t="str">
        <f t="shared" si="4"/>
        <v>Fruit 'n Yogurt Parfait</v>
      </c>
      <c r="F100">
        <f t="shared" si="5"/>
        <v>150</v>
      </c>
      <c r="G100">
        <f t="shared" si="6"/>
        <v>20</v>
      </c>
    </row>
    <row r="101" spans="1:7" x14ac:dyDescent="0.3">
      <c r="A101" t="s">
        <v>115</v>
      </c>
      <c r="B101">
        <v>240</v>
      </c>
      <c r="C101">
        <v>70</v>
      </c>
      <c r="E101" t="str">
        <f t="shared" si="4"/>
        <v>Hamburger</v>
      </c>
      <c r="F101">
        <f t="shared" si="5"/>
        <v>240</v>
      </c>
      <c r="G101">
        <f t="shared" si="6"/>
        <v>70</v>
      </c>
    </row>
    <row r="102" spans="1:7" x14ac:dyDescent="0.3">
      <c r="A102" t="s">
        <v>96</v>
      </c>
      <c r="B102">
        <v>150</v>
      </c>
      <c r="C102">
        <v>80</v>
      </c>
      <c r="E102" t="str">
        <f t="shared" si="4"/>
        <v>Hash Brown</v>
      </c>
      <c r="F102">
        <f t="shared" si="5"/>
        <v>150</v>
      </c>
      <c r="G102">
        <f t="shared" si="6"/>
        <v>80</v>
      </c>
    </row>
    <row r="103" spans="1:7" x14ac:dyDescent="0.3">
      <c r="A103" t="s">
        <v>338</v>
      </c>
      <c r="B103">
        <v>250</v>
      </c>
      <c r="C103">
        <v>80</v>
      </c>
      <c r="E103" t="str">
        <f t="shared" si="4"/>
        <v>Hazelnut Iced Coffee (Large)</v>
      </c>
      <c r="F103">
        <f t="shared" si="5"/>
        <v>250</v>
      </c>
      <c r="G103">
        <f t="shared" si="6"/>
        <v>80</v>
      </c>
    </row>
    <row r="104" spans="1:7" x14ac:dyDescent="0.3">
      <c r="A104" t="s">
        <v>337</v>
      </c>
      <c r="B104">
        <v>180</v>
      </c>
      <c r="C104">
        <v>60</v>
      </c>
      <c r="E104" t="str">
        <f t="shared" si="4"/>
        <v>Hazelnut Iced Coffee (Medium)</v>
      </c>
      <c r="F104">
        <f t="shared" si="5"/>
        <v>180</v>
      </c>
      <c r="G104">
        <f t="shared" si="6"/>
        <v>60</v>
      </c>
    </row>
    <row r="105" spans="1:7" x14ac:dyDescent="0.3">
      <c r="A105" t="s">
        <v>336</v>
      </c>
      <c r="B105">
        <v>130</v>
      </c>
      <c r="C105">
        <v>40</v>
      </c>
      <c r="E105" t="str">
        <f t="shared" si="4"/>
        <v>Hazelnut Iced Coffee (Small)</v>
      </c>
      <c r="F105">
        <f t="shared" si="5"/>
        <v>130</v>
      </c>
      <c r="G105">
        <f t="shared" si="6"/>
        <v>40</v>
      </c>
    </row>
    <row r="106" spans="1:7" x14ac:dyDescent="0.3">
      <c r="A106" t="s">
        <v>289</v>
      </c>
      <c r="B106">
        <v>430</v>
      </c>
      <c r="C106">
        <v>120</v>
      </c>
      <c r="E106" t="str">
        <f t="shared" si="4"/>
        <v>Hazelnut Latte (Large)</v>
      </c>
      <c r="F106">
        <f t="shared" si="5"/>
        <v>430</v>
      </c>
      <c r="G106">
        <f t="shared" si="6"/>
        <v>120</v>
      </c>
    </row>
    <row r="107" spans="1:7" x14ac:dyDescent="0.3">
      <c r="A107" t="s">
        <v>288</v>
      </c>
      <c r="B107">
        <v>330</v>
      </c>
      <c r="C107">
        <v>90</v>
      </c>
      <c r="E107" t="str">
        <f t="shared" si="4"/>
        <v>Hazelnut Latte (Medium)</v>
      </c>
      <c r="F107">
        <f t="shared" si="5"/>
        <v>330</v>
      </c>
      <c r="G107">
        <f t="shared" si="6"/>
        <v>90</v>
      </c>
    </row>
    <row r="108" spans="1:7" x14ac:dyDescent="0.3">
      <c r="A108" t="s">
        <v>287</v>
      </c>
      <c r="B108">
        <v>270</v>
      </c>
      <c r="C108">
        <v>80</v>
      </c>
      <c r="E108" t="str">
        <f t="shared" si="4"/>
        <v>Hazelnut Latte (Small)</v>
      </c>
      <c r="F108">
        <f t="shared" si="5"/>
        <v>270</v>
      </c>
      <c r="G108">
        <f t="shared" si="6"/>
        <v>80</v>
      </c>
    </row>
    <row r="109" spans="1:7" x14ac:dyDescent="0.3">
      <c r="A109" t="s">
        <v>199</v>
      </c>
      <c r="B109">
        <v>330</v>
      </c>
      <c r="C109">
        <v>130</v>
      </c>
      <c r="E109" t="str">
        <f t="shared" si="4"/>
        <v>Honey Mustard Snack Wrap (Crispy Chicken)</v>
      </c>
      <c r="F109">
        <f t="shared" si="5"/>
        <v>330</v>
      </c>
      <c r="G109">
        <f t="shared" si="6"/>
        <v>130</v>
      </c>
    </row>
    <row r="110" spans="1:7" x14ac:dyDescent="0.3">
      <c r="A110" t="s">
        <v>200</v>
      </c>
      <c r="B110">
        <v>250</v>
      </c>
      <c r="C110">
        <v>70</v>
      </c>
      <c r="E110" t="str">
        <f t="shared" si="4"/>
        <v>Honey Mustard Snack Wrap (Grilled Chicken)</v>
      </c>
      <c r="F110">
        <f t="shared" si="5"/>
        <v>250</v>
      </c>
      <c r="G110">
        <f t="shared" si="6"/>
        <v>70</v>
      </c>
    </row>
    <row r="111" spans="1:7" x14ac:dyDescent="0.3">
      <c r="A111" t="s">
        <v>229</v>
      </c>
      <c r="B111">
        <v>340</v>
      </c>
      <c r="C111">
        <v>70</v>
      </c>
      <c r="E111" t="str">
        <f t="shared" si="4"/>
        <v>Hot Caramel Sundae</v>
      </c>
      <c r="F111">
        <f t="shared" si="5"/>
        <v>340</v>
      </c>
      <c r="G111">
        <f t="shared" si="6"/>
        <v>70</v>
      </c>
    </row>
    <row r="112" spans="1:7" x14ac:dyDescent="0.3">
      <c r="A112" t="s">
        <v>325</v>
      </c>
      <c r="B112">
        <v>540</v>
      </c>
      <c r="C112">
        <v>180</v>
      </c>
      <c r="E112" t="str">
        <f t="shared" si="4"/>
        <v>Hot Chocolate (Large)</v>
      </c>
      <c r="F112">
        <f t="shared" si="5"/>
        <v>540</v>
      </c>
      <c r="G112">
        <f t="shared" si="6"/>
        <v>180</v>
      </c>
    </row>
    <row r="113" spans="1:7" x14ac:dyDescent="0.3">
      <c r="A113" t="s">
        <v>324</v>
      </c>
      <c r="B113">
        <v>440</v>
      </c>
      <c r="C113">
        <v>140</v>
      </c>
      <c r="E113" t="str">
        <f t="shared" si="4"/>
        <v>Hot Chocolate (Medium)</v>
      </c>
      <c r="F113">
        <f t="shared" si="5"/>
        <v>440</v>
      </c>
      <c r="G113">
        <f t="shared" si="6"/>
        <v>140</v>
      </c>
    </row>
    <row r="114" spans="1:7" x14ac:dyDescent="0.3">
      <c r="A114" t="s">
        <v>323</v>
      </c>
      <c r="B114">
        <v>360</v>
      </c>
      <c r="C114">
        <v>120</v>
      </c>
      <c r="E114" t="str">
        <f t="shared" si="4"/>
        <v>Hot Chocolate (Small)</v>
      </c>
      <c r="F114">
        <f t="shared" si="5"/>
        <v>360</v>
      </c>
      <c r="G114">
        <f t="shared" si="6"/>
        <v>120</v>
      </c>
    </row>
    <row r="115" spans="1:7" x14ac:dyDescent="0.3">
      <c r="A115" t="s">
        <v>328</v>
      </c>
      <c r="B115">
        <v>400</v>
      </c>
      <c r="C115">
        <v>35</v>
      </c>
      <c r="E115" t="str">
        <f t="shared" si="4"/>
        <v>Hot Chocolate with Nonfat Milk (Large)</v>
      </c>
      <c r="F115">
        <f t="shared" si="5"/>
        <v>400</v>
      </c>
      <c r="G115">
        <f t="shared" si="6"/>
        <v>35</v>
      </c>
    </row>
    <row r="116" spans="1:7" x14ac:dyDescent="0.3">
      <c r="A116" t="s">
        <v>327</v>
      </c>
      <c r="B116">
        <v>340</v>
      </c>
      <c r="C116">
        <v>30</v>
      </c>
      <c r="E116" t="str">
        <f t="shared" si="4"/>
        <v>Hot Chocolate with Nonfat Milk (Medium)</v>
      </c>
      <c r="F116">
        <f t="shared" si="5"/>
        <v>340</v>
      </c>
      <c r="G116">
        <f t="shared" si="6"/>
        <v>30</v>
      </c>
    </row>
    <row r="117" spans="1:7" x14ac:dyDescent="0.3">
      <c r="A117" t="s">
        <v>326</v>
      </c>
      <c r="B117">
        <v>280</v>
      </c>
      <c r="C117">
        <v>30</v>
      </c>
      <c r="E117" t="str">
        <f t="shared" si="4"/>
        <v>Hot Chocolate with Nonfat Milk (Small)</v>
      </c>
      <c r="F117">
        <f t="shared" si="5"/>
        <v>280</v>
      </c>
      <c r="G117">
        <f t="shared" si="6"/>
        <v>30</v>
      </c>
    </row>
    <row r="118" spans="1:7" x14ac:dyDescent="0.3">
      <c r="A118" t="s">
        <v>227</v>
      </c>
      <c r="B118">
        <v>330</v>
      </c>
      <c r="C118">
        <v>80</v>
      </c>
      <c r="E118" t="str">
        <f t="shared" si="4"/>
        <v>Hot Fudge Sundae</v>
      </c>
      <c r="F118">
        <f t="shared" si="5"/>
        <v>330</v>
      </c>
      <c r="G118">
        <f t="shared" si="6"/>
        <v>80</v>
      </c>
    </row>
    <row r="119" spans="1:7" x14ac:dyDescent="0.3">
      <c r="A119" t="s">
        <v>91</v>
      </c>
      <c r="B119">
        <v>350</v>
      </c>
      <c r="C119">
        <v>80</v>
      </c>
      <c r="E119" t="str">
        <f t="shared" si="4"/>
        <v>Hotcakes</v>
      </c>
      <c r="F119">
        <f t="shared" si="5"/>
        <v>350</v>
      </c>
      <c r="G119">
        <f t="shared" si="6"/>
        <v>80</v>
      </c>
    </row>
    <row r="120" spans="1:7" x14ac:dyDescent="0.3">
      <c r="A120" t="s">
        <v>93</v>
      </c>
      <c r="B120">
        <v>520</v>
      </c>
      <c r="C120">
        <v>210</v>
      </c>
      <c r="E120" t="str">
        <f t="shared" si="4"/>
        <v>Hotcakes and Sausage</v>
      </c>
      <c r="F120">
        <f t="shared" si="5"/>
        <v>520</v>
      </c>
      <c r="G120">
        <f t="shared" si="6"/>
        <v>210</v>
      </c>
    </row>
    <row r="121" spans="1:7" x14ac:dyDescent="0.3">
      <c r="A121" t="s">
        <v>353</v>
      </c>
      <c r="B121">
        <v>460</v>
      </c>
      <c r="C121">
        <v>150</v>
      </c>
      <c r="E121" t="str">
        <f t="shared" si="4"/>
        <v>Iced Caramel Mocha (Large)</v>
      </c>
      <c r="F121">
        <f t="shared" si="5"/>
        <v>460</v>
      </c>
      <c r="G121">
        <f t="shared" si="6"/>
        <v>150</v>
      </c>
    </row>
    <row r="122" spans="1:7" x14ac:dyDescent="0.3">
      <c r="A122" t="s">
        <v>352</v>
      </c>
      <c r="B122">
        <v>340</v>
      </c>
      <c r="C122">
        <v>110</v>
      </c>
      <c r="E122" t="str">
        <f t="shared" si="4"/>
        <v>Iced Caramel Mocha (Medium)</v>
      </c>
      <c r="F122">
        <f t="shared" si="5"/>
        <v>340</v>
      </c>
      <c r="G122">
        <f t="shared" si="6"/>
        <v>110</v>
      </c>
    </row>
    <row r="123" spans="1:7" x14ac:dyDescent="0.3">
      <c r="A123" t="s">
        <v>351</v>
      </c>
      <c r="B123">
        <v>280</v>
      </c>
      <c r="C123">
        <v>100</v>
      </c>
      <c r="E123" t="str">
        <f t="shared" si="4"/>
        <v>Iced Caramel Mocha (Small)</v>
      </c>
      <c r="F123">
        <f t="shared" si="5"/>
        <v>280</v>
      </c>
      <c r="G123">
        <f t="shared" si="6"/>
        <v>100</v>
      </c>
    </row>
    <row r="124" spans="1:7" x14ac:dyDescent="0.3">
      <c r="A124" t="s">
        <v>344</v>
      </c>
      <c r="B124">
        <v>160</v>
      </c>
      <c r="C124">
        <v>80</v>
      </c>
      <c r="E124" t="str">
        <f t="shared" si="4"/>
        <v>Iced Coffee with Sugar Free French Vanilla Syrup (Large)</v>
      </c>
      <c r="F124">
        <f t="shared" si="5"/>
        <v>160</v>
      </c>
      <c r="G124">
        <f t="shared" si="6"/>
        <v>80</v>
      </c>
    </row>
    <row r="125" spans="1:7" x14ac:dyDescent="0.3">
      <c r="A125" t="s">
        <v>343</v>
      </c>
      <c r="B125">
        <v>120</v>
      </c>
      <c r="C125">
        <v>60</v>
      </c>
      <c r="E125" t="str">
        <f t="shared" si="4"/>
        <v>Iced Coffee with Sugar Free French Vanilla Syrup (Medium)</v>
      </c>
      <c r="F125">
        <f t="shared" si="5"/>
        <v>120</v>
      </c>
      <c r="G125">
        <f t="shared" si="6"/>
        <v>60</v>
      </c>
    </row>
    <row r="126" spans="1:7" x14ac:dyDescent="0.3">
      <c r="A126" t="s">
        <v>342</v>
      </c>
      <c r="B126">
        <v>80</v>
      </c>
      <c r="C126">
        <v>40</v>
      </c>
      <c r="E126" t="str">
        <f t="shared" si="4"/>
        <v>Iced Coffee with Sugar Free French Vanilla Syrup (Small)</v>
      </c>
      <c r="F126">
        <f t="shared" si="5"/>
        <v>80</v>
      </c>
      <c r="G126">
        <f t="shared" si="6"/>
        <v>40</v>
      </c>
    </row>
    <row r="127" spans="1:7" x14ac:dyDescent="0.3">
      <c r="A127" t="s">
        <v>347</v>
      </c>
      <c r="B127">
        <v>480</v>
      </c>
      <c r="C127">
        <v>150</v>
      </c>
      <c r="E127" t="str">
        <f t="shared" si="4"/>
        <v>Iced Mocha (Large)</v>
      </c>
      <c r="F127">
        <f t="shared" si="5"/>
        <v>480</v>
      </c>
      <c r="G127">
        <f t="shared" si="6"/>
        <v>150</v>
      </c>
    </row>
    <row r="128" spans="1:7" x14ac:dyDescent="0.3">
      <c r="A128" t="s">
        <v>346</v>
      </c>
      <c r="B128">
        <v>350</v>
      </c>
      <c r="C128">
        <v>110</v>
      </c>
      <c r="E128" t="str">
        <f t="shared" si="4"/>
        <v>Iced Mocha (Medium)</v>
      </c>
      <c r="F128">
        <f t="shared" si="5"/>
        <v>350</v>
      </c>
      <c r="G128">
        <f t="shared" si="6"/>
        <v>110</v>
      </c>
    </row>
    <row r="129" spans="1:7" x14ac:dyDescent="0.3">
      <c r="A129" t="s">
        <v>345</v>
      </c>
      <c r="B129">
        <v>290</v>
      </c>
      <c r="C129">
        <v>100</v>
      </c>
      <c r="E129" t="str">
        <f t="shared" si="4"/>
        <v>Iced Mocha (Small)</v>
      </c>
      <c r="F129">
        <f t="shared" si="5"/>
        <v>290</v>
      </c>
      <c r="G129">
        <f t="shared" si="6"/>
        <v>100</v>
      </c>
    </row>
    <row r="130" spans="1:7" x14ac:dyDescent="0.3">
      <c r="A130" t="s">
        <v>350</v>
      </c>
      <c r="B130">
        <v>390</v>
      </c>
      <c r="C130">
        <v>50</v>
      </c>
      <c r="E130" t="str">
        <f t="shared" si="4"/>
        <v>Iced Mocha with Nonfat Milk (Large)</v>
      </c>
      <c r="F130">
        <f t="shared" si="5"/>
        <v>390</v>
      </c>
      <c r="G130">
        <f t="shared" si="6"/>
        <v>50</v>
      </c>
    </row>
    <row r="131" spans="1:7" x14ac:dyDescent="0.3">
      <c r="A131" t="s">
        <v>349</v>
      </c>
      <c r="B131">
        <v>290</v>
      </c>
      <c r="C131">
        <v>45</v>
      </c>
      <c r="E131" t="str">
        <f t="shared" si="4"/>
        <v>Iced Mocha with Nonfat Milk (Medium)</v>
      </c>
      <c r="F131">
        <f t="shared" si="5"/>
        <v>290</v>
      </c>
      <c r="G131">
        <f t="shared" si="6"/>
        <v>45</v>
      </c>
    </row>
    <row r="132" spans="1:7" x14ac:dyDescent="0.3">
      <c r="A132" t="s">
        <v>348</v>
      </c>
      <c r="B132">
        <v>240</v>
      </c>
      <c r="C132">
        <v>45</v>
      </c>
      <c r="E132" t="str">
        <f t="shared" ref="E132:E195" si="7">A132</f>
        <v>Iced Mocha with Nonfat Milk (Small)</v>
      </c>
      <c r="F132">
        <f t="shared" si="5"/>
        <v>240</v>
      </c>
      <c r="G132">
        <f t="shared" si="6"/>
        <v>45</v>
      </c>
    </row>
    <row r="133" spans="1:7" x14ac:dyDescent="0.3">
      <c r="A133" t="s">
        <v>356</v>
      </c>
      <c r="B133">
        <v>370</v>
      </c>
      <c r="C133">
        <v>50</v>
      </c>
      <c r="E133" t="str">
        <f t="shared" si="7"/>
        <v>Iced Nonfat Caramel Mocha (Large)</v>
      </c>
      <c r="F133">
        <f t="shared" si="5"/>
        <v>370</v>
      </c>
      <c r="G133">
        <f t="shared" si="6"/>
        <v>50</v>
      </c>
    </row>
    <row r="134" spans="1:7" x14ac:dyDescent="0.3">
      <c r="A134" t="s">
        <v>355</v>
      </c>
      <c r="B134">
        <v>270</v>
      </c>
      <c r="C134">
        <v>45</v>
      </c>
      <c r="E134" t="str">
        <f t="shared" si="7"/>
        <v>Iced Nonfat Caramel Mocha (Medium)</v>
      </c>
      <c r="F134">
        <f t="shared" si="5"/>
        <v>270</v>
      </c>
      <c r="G134">
        <f t="shared" si="6"/>
        <v>45</v>
      </c>
    </row>
    <row r="135" spans="1:7" x14ac:dyDescent="0.3">
      <c r="A135" t="s">
        <v>354</v>
      </c>
      <c r="B135">
        <v>230</v>
      </c>
      <c r="C135">
        <v>45</v>
      </c>
      <c r="E135" t="str">
        <f t="shared" si="7"/>
        <v>Iced Nonfat Caramel Mocha (Small)</v>
      </c>
      <c r="F135">
        <f t="shared" si="5"/>
        <v>230</v>
      </c>
      <c r="G135">
        <f t="shared" si="6"/>
        <v>45</v>
      </c>
    </row>
    <row r="136" spans="1:7" x14ac:dyDescent="0.3">
      <c r="A136" t="s">
        <v>272</v>
      </c>
      <c r="B136">
        <v>0</v>
      </c>
      <c r="C136">
        <v>0</v>
      </c>
      <c r="E136" t="str">
        <f t="shared" si="7"/>
        <v>Iced Tea (Child)</v>
      </c>
      <c r="F136">
        <f t="shared" si="5"/>
        <v>0</v>
      </c>
      <c r="G136">
        <f t="shared" si="6"/>
        <v>0</v>
      </c>
    </row>
    <row r="137" spans="1:7" x14ac:dyDescent="0.3">
      <c r="A137" t="s">
        <v>271</v>
      </c>
      <c r="B137">
        <v>0</v>
      </c>
      <c r="C137">
        <v>0</v>
      </c>
      <c r="E137" t="str">
        <f t="shared" si="7"/>
        <v>Iced Tea (Large)</v>
      </c>
      <c r="F137">
        <f t="shared" si="5"/>
        <v>0</v>
      </c>
      <c r="G137">
        <f t="shared" si="6"/>
        <v>0</v>
      </c>
    </row>
    <row r="138" spans="1:7" x14ac:dyDescent="0.3">
      <c r="A138" t="s">
        <v>270</v>
      </c>
      <c r="B138">
        <v>0</v>
      </c>
      <c r="C138">
        <v>0</v>
      </c>
      <c r="E138" t="str">
        <f t="shared" si="7"/>
        <v>Iced Tea (Medium)</v>
      </c>
      <c r="F138">
        <f t="shared" si="5"/>
        <v>0</v>
      </c>
      <c r="G138">
        <f t="shared" si="6"/>
        <v>0</v>
      </c>
    </row>
    <row r="139" spans="1:7" x14ac:dyDescent="0.3">
      <c r="A139" t="s">
        <v>269</v>
      </c>
      <c r="B139">
        <v>0</v>
      </c>
      <c r="C139">
        <v>0</v>
      </c>
      <c r="E139" t="str">
        <f t="shared" si="7"/>
        <v>Iced Tea (Small)</v>
      </c>
      <c r="F139">
        <f t="shared" si="5"/>
        <v>0</v>
      </c>
      <c r="G139">
        <f t="shared" si="6"/>
        <v>0</v>
      </c>
    </row>
    <row r="140" spans="1:7" x14ac:dyDescent="0.3">
      <c r="A140" t="s">
        <v>127</v>
      </c>
      <c r="B140">
        <v>430</v>
      </c>
      <c r="C140">
        <v>210</v>
      </c>
      <c r="E140" t="str">
        <f t="shared" si="7"/>
        <v>JalapeÃ±o Double</v>
      </c>
      <c r="F140">
        <f t="shared" si="5"/>
        <v>430</v>
      </c>
      <c r="G140">
        <f t="shared" si="6"/>
        <v>210</v>
      </c>
    </row>
    <row r="141" spans="1:7" x14ac:dyDescent="0.3">
      <c r="A141" t="s">
        <v>211</v>
      </c>
      <c r="B141">
        <v>110</v>
      </c>
      <c r="C141">
        <v>50</v>
      </c>
      <c r="E141" t="str">
        <f t="shared" si="7"/>
        <v>Kids French Fries</v>
      </c>
      <c r="F141">
        <f t="shared" si="5"/>
        <v>110</v>
      </c>
      <c r="G141">
        <f t="shared" si="6"/>
        <v>50</v>
      </c>
    </row>
    <row r="142" spans="1:7" x14ac:dyDescent="0.3">
      <c r="A142" t="s">
        <v>225</v>
      </c>
      <c r="B142">
        <v>45</v>
      </c>
      <c r="C142">
        <v>10</v>
      </c>
      <c r="E142" t="str">
        <f t="shared" si="7"/>
        <v>Kids Ice Cream Cone</v>
      </c>
      <c r="F142">
        <f t="shared" si="5"/>
        <v>45</v>
      </c>
      <c r="G142">
        <f t="shared" si="6"/>
        <v>10</v>
      </c>
    </row>
    <row r="143" spans="1:7" x14ac:dyDescent="0.3">
      <c r="A143" t="s">
        <v>209</v>
      </c>
      <c r="B143">
        <v>510</v>
      </c>
      <c r="C143">
        <v>220</v>
      </c>
      <c r="E143" t="str">
        <f t="shared" si="7"/>
        <v>Large French Fries</v>
      </c>
      <c r="F143">
        <f t="shared" si="5"/>
        <v>510</v>
      </c>
      <c r="G143">
        <f t="shared" si="6"/>
        <v>220</v>
      </c>
    </row>
    <row r="144" spans="1:7" x14ac:dyDescent="0.3">
      <c r="A144" t="s">
        <v>282</v>
      </c>
      <c r="B144">
        <v>280</v>
      </c>
      <c r="C144">
        <v>120</v>
      </c>
      <c r="E144" t="str">
        <f t="shared" si="7"/>
        <v>Latte (Large)</v>
      </c>
      <c r="F144">
        <f t="shared" si="5"/>
        <v>280</v>
      </c>
      <c r="G144">
        <f t="shared" si="6"/>
        <v>120</v>
      </c>
    </row>
    <row r="145" spans="1:7" x14ac:dyDescent="0.3">
      <c r="A145" t="s">
        <v>281</v>
      </c>
      <c r="B145">
        <v>210</v>
      </c>
      <c r="C145">
        <v>90</v>
      </c>
      <c r="E145" t="str">
        <f t="shared" si="7"/>
        <v>Latte (Medium)</v>
      </c>
      <c r="F145">
        <f t="shared" si="5"/>
        <v>210</v>
      </c>
      <c r="G145">
        <f t="shared" si="6"/>
        <v>90</v>
      </c>
    </row>
    <row r="146" spans="1:7" x14ac:dyDescent="0.3">
      <c r="A146" t="s">
        <v>280</v>
      </c>
      <c r="B146">
        <v>170</v>
      </c>
      <c r="C146">
        <v>80</v>
      </c>
      <c r="E146" t="str">
        <f t="shared" si="7"/>
        <v>Latte (Small)</v>
      </c>
      <c r="F146">
        <f t="shared" si="5"/>
        <v>170</v>
      </c>
      <c r="G146">
        <f t="shared" si="6"/>
        <v>80</v>
      </c>
    </row>
    <row r="147" spans="1:7" x14ac:dyDescent="0.3">
      <c r="A147" t="s">
        <v>295</v>
      </c>
      <c r="B147">
        <v>330</v>
      </c>
      <c r="C147">
        <v>120</v>
      </c>
      <c r="E147" t="str">
        <f t="shared" si="7"/>
        <v>Latte with Sugar Free French Vanilla Syrup (Large)</v>
      </c>
      <c r="F147">
        <f t="shared" ref="F147:F210" si="8">B147</f>
        <v>330</v>
      </c>
      <c r="G147">
        <f t="shared" ref="G147:G210" si="9">C147</f>
        <v>120</v>
      </c>
    </row>
    <row r="148" spans="1:7" x14ac:dyDescent="0.3">
      <c r="A148" t="s">
        <v>294</v>
      </c>
      <c r="B148">
        <v>260</v>
      </c>
      <c r="C148">
        <v>90</v>
      </c>
      <c r="E148" t="str">
        <f t="shared" si="7"/>
        <v>Latte with Sugar Free French Vanilla Syrup (Medium)</v>
      </c>
      <c r="F148">
        <f t="shared" si="8"/>
        <v>260</v>
      </c>
      <c r="G148">
        <f t="shared" si="9"/>
        <v>90</v>
      </c>
    </row>
    <row r="149" spans="1:7" x14ac:dyDescent="0.3">
      <c r="A149" t="s">
        <v>293</v>
      </c>
      <c r="B149">
        <v>210</v>
      </c>
      <c r="C149">
        <v>80</v>
      </c>
      <c r="E149" t="str">
        <f t="shared" si="7"/>
        <v>Latte with Sugar Free French Vanilla Syrup (Small)</v>
      </c>
      <c r="F149">
        <f t="shared" si="8"/>
        <v>210</v>
      </c>
      <c r="G149">
        <f t="shared" si="9"/>
        <v>80</v>
      </c>
    </row>
    <row r="150" spans="1:7" x14ac:dyDescent="0.3">
      <c r="A150" t="s">
        <v>375</v>
      </c>
      <c r="B150">
        <v>340</v>
      </c>
      <c r="C150">
        <v>10</v>
      </c>
      <c r="E150" t="str">
        <f t="shared" si="7"/>
        <v>Mango Pineapple Smoothie (Large)</v>
      </c>
      <c r="F150">
        <f t="shared" si="8"/>
        <v>340</v>
      </c>
      <c r="G150">
        <f t="shared" si="9"/>
        <v>10</v>
      </c>
    </row>
    <row r="151" spans="1:7" x14ac:dyDescent="0.3">
      <c r="A151" t="s">
        <v>374</v>
      </c>
      <c r="B151">
        <v>260</v>
      </c>
      <c r="C151">
        <v>10</v>
      </c>
      <c r="E151" t="str">
        <f t="shared" si="7"/>
        <v>Mango Pineapple Smoothie (Medium)</v>
      </c>
      <c r="F151">
        <f t="shared" si="8"/>
        <v>260</v>
      </c>
      <c r="G151">
        <f t="shared" si="9"/>
        <v>10</v>
      </c>
    </row>
    <row r="152" spans="1:7" x14ac:dyDescent="0.3">
      <c r="A152" t="s">
        <v>373</v>
      </c>
      <c r="B152">
        <v>210</v>
      </c>
      <c r="C152">
        <v>5</v>
      </c>
      <c r="E152" t="str">
        <f t="shared" si="7"/>
        <v>Mango Pineapple Smoothie (Small)</v>
      </c>
      <c r="F152">
        <f t="shared" si="8"/>
        <v>210</v>
      </c>
      <c r="G152">
        <f t="shared" si="9"/>
        <v>5</v>
      </c>
    </row>
    <row r="153" spans="1:7" x14ac:dyDescent="0.3">
      <c r="A153" t="s">
        <v>148</v>
      </c>
      <c r="B153">
        <v>360</v>
      </c>
      <c r="C153">
        <v>140</v>
      </c>
      <c r="E153" t="str">
        <f t="shared" si="7"/>
        <v>McChicken</v>
      </c>
      <c r="F153">
        <f t="shared" si="8"/>
        <v>360</v>
      </c>
      <c r="G153">
        <f t="shared" si="9"/>
        <v>140</v>
      </c>
    </row>
    <row r="154" spans="1:7" x14ac:dyDescent="0.3">
      <c r="A154" t="s">
        <v>122</v>
      </c>
      <c r="B154">
        <v>380</v>
      </c>
      <c r="C154">
        <v>150</v>
      </c>
      <c r="E154" t="str">
        <f t="shared" si="7"/>
        <v>McDouble</v>
      </c>
      <c r="F154">
        <f t="shared" si="8"/>
        <v>380</v>
      </c>
      <c r="G154">
        <f t="shared" si="9"/>
        <v>150</v>
      </c>
    </row>
    <row r="155" spans="1:7" x14ac:dyDescent="0.3">
      <c r="A155" t="s">
        <v>388</v>
      </c>
      <c r="B155">
        <v>930</v>
      </c>
      <c r="C155">
        <v>290</v>
      </c>
      <c r="E155" t="str">
        <f t="shared" si="7"/>
        <v>McFlurry with M&amp;Mâ€™s Candies (Medium)</v>
      </c>
      <c r="F155">
        <f t="shared" si="8"/>
        <v>930</v>
      </c>
      <c r="G155">
        <f t="shared" si="9"/>
        <v>290</v>
      </c>
    </row>
    <row r="156" spans="1:7" x14ac:dyDescent="0.3">
      <c r="A156" t="s">
        <v>387</v>
      </c>
      <c r="B156">
        <v>650</v>
      </c>
      <c r="C156">
        <v>210</v>
      </c>
      <c r="E156" t="str">
        <f t="shared" si="7"/>
        <v>McFlurry with M&amp;Mâ€™s Candies (Small)</v>
      </c>
      <c r="F156">
        <f t="shared" si="8"/>
        <v>650</v>
      </c>
      <c r="G156">
        <f t="shared" si="9"/>
        <v>210</v>
      </c>
    </row>
    <row r="157" spans="1:7" x14ac:dyDescent="0.3">
      <c r="A157" t="s">
        <v>390</v>
      </c>
      <c r="B157">
        <v>430</v>
      </c>
      <c r="C157">
        <v>140</v>
      </c>
      <c r="E157" t="str">
        <f t="shared" si="7"/>
        <v>McFlurry with M&amp;Mâ€™s Candies (Snack)</v>
      </c>
      <c r="F157">
        <f t="shared" si="8"/>
        <v>430</v>
      </c>
      <c r="G157">
        <f t="shared" si="9"/>
        <v>140</v>
      </c>
    </row>
    <row r="158" spans="1:7" x14ac:dyDescent="0.3">
      <c r="A158" t="s">
        <v>394</v>
      </c>
      <c r="B158">
        <v>690</v>
      </c>
      <c r="C158">
        <v>200</v>
      </c>
      <c r="E158" t="str">
        <f t="shared" si="7"/>
        <v>McFlurry with Oreo Cookies (Medium)</v>
      </c>
      <c r="F158">
        <f t="shared" si="8"/>
        <v>690</v>
      </c>
      <c r="G158">
        <f t="shared" si="9"/>
        <v>200</v>
      </c>
    </row>
    <row r="159" spans="1:7" x14ac:dyDescent="0.3">
      <c r="A159" t="s">
        <v>392</v>
      </c>
      <c r="B159">
        <v>510</v>
      </c>
      <c r="C159">
        <v>150</v>
      </c>
      <c r="E159" t="str">
        <f t="shared" si="7"/>
        <v>McFlurry with Oreo Cookies (Small)</v>
      </c>
      <c r="F159">
        <f t="shared" si="8"/>
        <v>510</v>
      </c>
      <c r="G159">
        <f t="shared" si="9"/>
        <v>150</v>
      </c>
    </row>
    <row r="160" spans="1:7" x14ac:dyDescent="0.3">
      <c r="A160" t="s">
        <v>396</v>
      </c>
      <c r="B160">
        <v>340</v>
      </c>
      <c r="C160">
        <v>100</v>
      </c>
      <c r="E160" t="str">
        <f t="shared" si="7"/>
        <v>McFlurry with Oreo Cookies (Snack)</v>
      </c>
      <c r="F160">
        <f t="shared" si="8"/>
        <v>340</v>
      </c>
      <c r="G160">
        <f t="shared" si="9"/>
        <v>100</v>
      </c>
    </row>
    <row r="161" spans="1:7" x14ac:dyDescent="0.3">
      <c r="A161" t="s">
        <v>397</v>
      </c>
      <c r="B161">
        <v>810</v>
      </c>
      <c r="C161">
        <v>290</v>
      </c>
      <c r="E161" t="str">
        <f t="shared" si="7"/>
        <v>McFlurry with Reese's Peanut Butter Cups (Medium)</v>
      </c>
      <c r="F161">
        <f t="shared" si="8"/>
        <v>810</v>
      </c>
      <c r="G161">
        <f t="shared" si="9"/>
        <v>290</v>
      </c>
    </row>
    <row r="162" spans="1:7" x14ac:dyDescent="0.3">
      <c r="A162" t="s">
        <v>399</v>
      </c>
      <c r="B162">
        <v>410</v>
      </c>
      <c r="C162">
        <v>150</v>
      </c>
      <c r="E162" t="str">
        <f t="shared" si="7"/>
        <v>McFlurry with Reese's Peanut Butter Cups (Snack)</v>
      </c>
      <c r="F162">
        <f t="shared" si="8"/>
        <v>410</v>
      </c>
      <c r="G162">
        <f t="shared" si="9"/>
        <v>150</v>
      </c>
    </row>
    <row r="163" spans="1:7" x14ac:dyDescent="0.3">
      <c r="A163" t="s">
        <v>129</v>
      </c>
      <c r="B163">
        <v>500</v>
      </c>
      <c r="C163">
        <v>240</v>
      </c>
      <c r="E163" t="str">
        <f t="shared" si="7"/>
        <v>McRib</v>
      </c>
      <c r="F163">
        <f t="shared" si="8"/>
        <v>500</v>
      </c>
      <c r="G163">
        <f t="shared" si="9"/>
        <v>240</v>
      </c>
    </row>
    <row r="164" spans="1:7" x14ac:dyDescent="0.3">
      <c r="A164" t="s">
        <v>208</v>
      </c>
      <c r="B164">
        <v>340</v>
      </c>
      <c r="C164">
        <v>140</v>
      </c>
      <c r="E164" t="str">
        <f t="shared" si="7"/>
        <v>Medium French Fries</v>
      </c>
      <c r="F164">
        <f t="shared" si="8"/>
        <v>340</v>
      </c>
      <c r="G164">
        <f t="shared" si="9"/>
        <v>140</v>
      </c>
    </row>
    <row r="165" spans="1:7" x14ac:dyDescent="0.3">
      <c r="A165" t="s">
        <v>260</v>
      </c>
      <c r="B165">
        <v>80</v>
      </c>
      <c r="C165">
        <v>0</v>
      </c>
      <c r="E165" t="str">
        <f t="shared" si="7"/>
        <v>Minute Maid 100% Apple Juice Box</v>
      </c>
      <c r="F165">
        <f t="shared" si="8"/>
        <v>80</v>
      </c>
      <c r="G165">
        <f t="shared" si="9"/>
        <v>0</v>
      </c>
    </row>
    <row r="166" spans="1:7" x14ac:dyDescent="0.3">
      <c r="A166" t="s">
        <v>264</v>
      </c>
      <c r="B166">
        <v>280</v>
      </c>
      <c r="C166">
        <v>0</v>
      </c>
      <c r="E166" t="str">
        <f t="shared" si="7"/>
        <v>Minute Maid Orange Juice (Large)</v>
      </c>
      <c r="F166">
        <f t="shared" si="8"/>
        <v>280</v>
      </c>
      <c r="G166">
        <f t="shared" si="9"/>
        <v>0</v>
      </c>
    </row>
    <row r="167" spans="1:7" x14ac:dyDescent="0.3">
      <c r="A167" t="s">
        <v>263</v>
      </c>
      <c r="B167">
        <v>190</v>
      </c>
      <c r="C167">
        <v>0</v>
      </c>
      <c r="E167" t="str">
        <f t="shared" si="7"/>
        <v>Minute Maid Orange Juice (Medium)</v>
      </c>
      <c r="F167">
        <f t="shared" si="8"/>
        <v>190</v>
      </c>
      <c r="G167">
        <f t="shared" si="9"/>
        <v>0</v>
      </c>
    </row>
    <row r="168" spans="1:7" x14ac:dyDescent="0.3">
      <c r="A168" t="s">
        <v>262</v>
      </c>
      <c r="B168">
        <v>150</v>
      </c>
      <c r="C168">
        <v>0</v>
      </c>
      <c r="E168" t="str">
        <f t="shared" si="7"/>
        <v>Minute Maid Orange Juice (Small)</v>
      </c>
      <c r="F168">
        <f t="shared" si="8"/>
        <v>150</v>
      </c>
      <c r="G168">
        <f t="shared" si="9"/>
        <v>0</v>
      </c>
    </row>
    <row r="169" spans="1:7" x14ac:dyDescent="0.3">
      <c r="A169" t="s">
        <v>313</v>
      </c>
      <c r="B169">
        <v>500</v>
      </c>
      <c r="C169">
        <v>150</v>
      </c>
      <c r="E169" t="str">
        <f t="shared" si="7"/>
        <v>Mocha (Large)</v>
      </c>
      <c r="F169">
        <f t="shared" si="8"/>
        <v>500</v>
      </c>
      <c r="G169">
        <f t="shared" si="9"/>
        <v>150</v>
      </c>
    </row>
    <row r="170" spans="1:7" x14ac:dyDescent="0.3">
      <c r="A170" t="s">
        <v>312</v>
      </c>
      <c r="B170">
        <v>410</v>
      </c>
      <c r="C170">
        <v>120</v>
      </c>
      <c r="E170" t="str">
        <f t="shared" si="7"/>
        <v>Mocha (Medium)</v>
      </c>
      <c r="F170">
        <f t="shared" si="8"/>
        <v>410</v>
      </c>
      <c r="G170">
        <f t="shared" si="9"/>
        <v>120</v>
      </c>
    </row>
    <row r="171" spans="1:7" x14ac:dyDescent="0.3">
      <c r="A171" t="s">
        <v>311</v>
      </c>
      <c r="B171">
        <v>340</v>
      </c>
      <c r="C171">
        <v>100</v>
      </c>
      <c r="E171" t="str">
        <f t="shared" si="7"/>
        <v>Mocha (Small)</v>
      </c>
      <c r="F171">
        <f t="shared" si="8"/>
        <v>340</v>
      </c>
      <c r="G171">
        <f t="shared" si="9"/>
        <v>100</v>
      </c>
    </row>
    <row r="172" spans="1:7" x14ac:dyDescent="0.3">
      <c r="A172" t="s">
        <v>316</v>
      </c>
      <c r="B172">
        <v>390</v>
      </c>
      <c r="C172">
        <v>35</v>
      </c>
      <c r="E172" t="str">
        <f t="shared" si="7"/>
        <v>Mocha with Nonfat Milk (Large)</v>
      </c>
      <c r="F172">
        <f t="shared" si="8"/>
        <v>390</v>
      </c>
      <c r="G172">
        <f t="shared" si="9"/>
        <v>35</v>
      </c>
    </row>
    <row r="173" spans="1:7" x14ac:dyDescent="0.3">
      <c r="A173" t="s">
        <v>315</v>
      </c>
      <c r="B173">
        <v>330</v>
      </c>
      <c r="C173">
        <v>30</v>
      </c>
      <c r="E173" t="str">
        <f t="shared" si="7"/>
        <v>Mocha with Nonfat Milk (Medium)</v>
      </c>
      <c r="F173">
        <f t="shared" si="8"/>
        <v>330</v>
      </c>
      <c r="G173">
        <f t="shared" si="9"/>
        <v>30</v>
      </c>
    </row>
    <row r="174" spans="1:7" x14ac:dyDescent="0.3">
      <c r="A174" t="s">
        <v>314</v>
      </c>
      <c r="B174">
        <v>270</v>
      </c>
      <c r="C174">
        <v>30</v>
      </c>
      <c r="E174" t="str">
        <f t="shared" si="7"/>
        <v>Mocha with Nonfat Milk (Small)</v>
      </c>
      <c r="F174">
        <f t="shared" si="8"/>
        <v>270</v>
      </c>
      <c r="G174">
        <f t="shared" si="9"/>
        <v>30</v>
      </c>
    </row>
    <row r="175" spans="1:7" x14ac:dyDescent="0.3">
      <c r="A175" t="s">
        <v>301</v>
      </c>
      <c r="B175">
        <v>310</v>
      </c>
      <c r="C175">
        <v>0</v>
      </c>
      <c r="E175" t="str">
        <f t="shared" si="7"/>
        <v>Nonfat Caramel Latte (Large)</v>
      </c>
      <c r="F175">
        <f t="shared" si="8"/>
        <v>310</v>
      </c>
      <c r="G175">
        <f t="shared" si="9"/>
        <v>0</v>
      </c>
    </row>
    <row r="176" spans="1:7" x14ac:dyDescent="0.3">
      <c r="A176" t="s">
        <v>300</v>
      </c>
      <c r="B176">
        <v>250</v>
      </c>
      <c r="C176">
        <v>0</v>
      </c>
      <c r="E176" t="str">
        <f t="shared" si="7"/>
        <v>Nonfat Caramel Latte (Medium)</v>
      </c>
      <c r="F176">
        <f t="shared" si="8"/>
        <v>250</v>
      </c>
      <c r="G176">
        <f t="shared" si="9"/>
        <v>0</v>
      </c>
    </row>
    <row r="177" spans="1:7" x14ac:dyDescent="0.3">
      <c r="A177" t="s">
        <v>299</v>
      </c>
      <c r="B177">
        <v>200</v>
      </c>
      <c r="C177">
        <v>0</v>
      </c>
      <c r="E177" t="str">
        <f t="shared" si="7"/>
        <v>Nonfat Caramel Latte (Small)</v>
      </c>
      <c r="F177">
        <f t="shared" si="8"/>
        <v>200</v>
      </c>
      <c r="G177">
        <f t="shared" si="9"/>
        <v>0</v>
      </c>
    </row>
    <row r="178" spans="1:7" x14ac:dyDescent="0.3">
      <c r="A178" t="s">
        <v>322</v>
      </c>
      <c r="B178">
        <v>370</v>
      </c>
      <c r="C178">
        <v>35</v>
      </c>
      <c r="E178" t="str">
        <f t="shared" si="7"/>
        <v>Nonfat Caramel Mocha (Large)</v>
      </c>
      <c r="F178">
        <f t="shared" si="8"/>
        <v>370</v>
      </c>
      <c r="G178">
        <f t="shared" si="9"/>
        <v>35</v>
      </c>
    </row>
    <row r="179" spans="1:7" x14ac:dyDescent="0.3">
      <c r="A179" t="s">
        <v>321</v>
      </c>
      <c r="B179">
        <v>310</v>
      </c>
      <c r="C179">
        <v>30</v>
      </c>
      <c r="E179" t="str">
        <f t="shared" si="7"/>
        <v>Nonfat Caramel Mocha (Medium)</v>
      </c>
      <c r="F179">
        <f t="shared" si="8"/>
        <v>310</v>
      </c>
      <c r="G179">
        <f t="shared" si="9"/>
        <v>30</v>
      </c>
    </row>
    <row r="180" spans="1:7" x14ac:dyDescent="0.3">
      <c r="A180" t="s">
        <v>320</v>
      </c>
      <c r="B180">
        <v>250</v>
      </c>
      <c r="C180">
        <v>30</v>
      </c>
      <c r="E180" t="str">
        <f t="shared" si="7"/>
        <v>Nonfat Caramel Mocha (Small)</v>
      </c>
      <c r="F180">
        <f t="shared" si="8"/>
        <v>250</v>
      </c>
      <c r="G180">
        <f t="shared" si="9"/>
        <v>30</v>
      </c>
    </row>
    <row r="181" spans="1:7" x14ac:dyDescent="0.3">
      <c r="A181" t="s">
        <v>307</v>
      </c>
      <c r="B181">
        <v>300</v>
      </c>
      <c r="C181">
        <v>0</v>
      </c>
      <c r="E181" t="str">
        <f t="shared" si="7"/>
        <v>Nonfat French Vanilla Latte (Large)</v>
      </c>
      <c r="F181">
        <f t="shared" si="8"/>
        <v>300</v>
      </c>
      <c r="G181">
        <f t="shared" si="9"/>
        <v>0</v>
      </c>
    </row>
    <row r="182" spans="1:7" x14ac:dyDescent="0.3">
      <c r="A182" t="s">
        <v>306</v>
      </c>
      <c r="B182">
        <v>240</v>
      </c>
      <c r="C182">
        <v>0</v>
      </c>
      <c r="E182" t="str">
        <f t="shared" si="7"/>
        <v>Nonfat French Vanilla Latte (Medium)</v>
      </c>
      <c r="F182">
        <f t="shared" si="8"/>
        <v>240</v>
      </c>
      <c r="G182">
        <f t="shared" si="9"/>
        <v>0</v>
      </c>
    </row>
    <row r="183" spans="1:7" x14ac:dyDescent="0.3">
      <c r="A183" t="s">
        <v>305</v>
      </c>
      <c r="B183">
        <v>190</v>
      </c>
      <c r="C183">
        <v>0</v>
      </c>
      <c r="E183" t="str">
        <f t="shared" si="7"/>
        <v>Nonfat French Vanilla Latte (Small)</v>
      </c>
      <c r="F183">
        <f t="shared" si="8"/>
        <v>190</v>
      </c>
      <c r="G183">
        <f t="shared" si="9"/>
        <v>0</v>
      </c>
    </row>
    <row r="184" spans="1:7" x14ac:dyDescent="0.3">
      <c r="A184" t="s">
        <v>304</v>
      </c>
      <c r="B184">
        <v>310</v>
      </c>
      <c r="C184">
        <v>0</v>
      </c>
      <c r="E184" t="str">
        <f t="shared" si="7"/>
        <v>Nonfat Hazelnut Latte (Large)</v>
      </c>
      <c r="F184">
        <f t="shared" si="8"/>
        <v>310</v>
      </c>
      <c r="G184">
        <f t="shared" si="9"/>
        <v>0</v>
      </c>
    </row>
    <row r="185" spans="1:7" x14ac:dyDescent="0.3">
      <c r="A185" t="s">
        <v>303</v>
      </c>
      <c r="B185">
        <v>250</v>
      </c>
      <c r="C185">
        <v>0</v>
      </c>
      <c r="E185" t="str">
        <f t="shared" si="7"/>
        <v>Nonfat Hazelnut Latte (Medium)</v>
      </c>
      <c r="F185">
        <f t="shared" si="8"/>
        <v>250</v>
      </c>
      <c r="G185">
        <f t="shared" si="9"/>
        <v>0</v>
      </c>
    </row>
    <row r="186" spans="1:7" x14ac:dyDescent="0.3">
      <c r="A186" t="s">
        <v>302</v>
      </c>
      <c r="B186">
        <v>200</v>
      </c>
      <c r="C186">
        <v>0</v>
      </c>
      <c r="E186" t="str">
        <f t="shared" si="7"/>
        <v>Nonfat Hazelnut Latte (Small)</v>
      </c>
      <c r="F186">
        <f t="shared" si="8"/>
        <v>200</v>
      </c>
      <c r="G186">
        <f t="shared" si="9"/>
        <v>0</v>
      </c>
    </row>
    <row r="187" spans="1:7" x14ac:dyDescent="0.3">
      <c r="A187" t="s">
        <v>298</v>
      </c>
      <c r="B187">
        <v>170</v>
      </c>
      <c r="C187">
        <v>0</v>
      </c>
      <c r="E187" t="str">
        <f t="shared" si="7"/>
        <v>Nonfat Latte (Large)</v>
      </c>
      <c r="F187">
        <f t="shared" si="8"/>
        <v>170</v>
      </c>
      <c r="G187">
        <f t="shared" si="9"/>
        <v>0</v>
      </c>
    </row>
    <row r="188" spans="1:7" x14ac:dyDescent="0.3">
      <c r="A188" t="s">
        <v>297</v>
      </c>
      <c r="B188">
        <v>130</v>
      </c>
      <c r="C188">
        <v>0</v>
      </c>
      <c r="E188" t="str">
        <f t="shared" si="7"/>
        <v>Nonfat Latte (Medium)</v>
      </c>
      <c r="F188">
        <f t="shared" si="8"/>
        <v>130</v>
      </c>
      <c r="G188">
        <f t="shared" si="9"/>
        <v>0</v>
      </c>
    </row>
    <row r="189" spans="1:7" x14ac:dyDescent="0.3">
      <c r="A189" t="s">
        <v>296</v>
      </c>
      <c r="B189">
        <v>100</v>
      </c>
      <c r="C189">
        <v>0</v>
      </c>
      <c r="E189" t="str">
        <f t="shared" si="7"/>
        <v>Nonfat Latte (Small)</v>
      </c>
      <c r="F189">
        <f t="shared" si="8"/>
        <v>100</v>
      </c>
      <c r="G189">
        <f t="shared" si="9"/>
        <v>0</v>
      </c>
    </row>
    <row r="190" spans="1:7" x14ac:dyDescent="0.3">
      <c r="A190" t="s">
        <v>310</v>
      </c>
      <c r="B190">
        <v>220</v>
      </c>
      <c r="C190">
        <v>0</v>
      </c>
      <c r="E190" t="str">
        <f t="shared" si="7"/>
        <v>Nonfat Latte with Sugar Free French Vanilla Syrup (Large)</v>
      </c>
      <c r="F190">
        <f t="shared" si="8"/>
        <v>220</v>
      </c>
      <c r="G190">
        <f t="shared" si="9"/>
        <v>0</v>
      </c>
    </row>
    <row r="191" spans="1:7" x14ac:dyDescent="0.3">
      <c r="A191" t="s">
        <v>309</v>
      </c>
      <c r="B191">
        <v>170</v>
      </c>
      <c r="C191">
        <v>0</v>
      </c>
      <c r="E191" t="str">
        <f t="shared" si="7"/>
        <v>Nonfat Latte with Sugar Free French Vanilla Syrup (Medium)</v>
      </c>
      <c r="F191">
        <f t="shared" si="8"/>
        <v>170</v>
      </c>
      <c r="G191">
        <f t="shared" si="9"/>
        <v>0</v>
      </c>
    </row>
    <row r="192" spans="1:7" x14ac:dyDescent="0.3">
      <c r="A192" t="s">
        <v>308</v>
      </c>
      <c r="B192">
        <v>140</v>
      </c>
      <c r="C192">
        <v>0</v>
      </c>
      <c r="E192" t="str">
        <f t="shared" si="7"/>
        <v>Nonfat Latte with Sugar Free French Vanilla Syrup (Small)</v>
      </c>
      <c r="F192">
        <f t="shared" si="8"/>
        <v>140</v>
      </c>
      <c r="G192">
        <f t="shared" si="9"/>
        <v>0</v>
      </c>
    </row>
    <row r="193" spans="1:7" x14ac:dyDescent="0.3">
      <c r="A193" t="s">
        <v>224</v>
      </c>
      <c r="B193">
        <v>150</v>
      </c>
      <c r="C193">
        <v>50</v>
      </c>
      <c r="E193" t="str">
        <f t="shared" si="7"/>
        <v>Oatmeal Raisin Cookie</v>
      </c>
      <c r="F193">
        <f t="shared" si="8"/>
        <v>150</v>
      </c>
      <c r="G193">
        <f t="shared" si="9"/>
        <v>50</v>
      </c>
    </row>
    <row r="194" spans="1:7" x14ac:dyDescent="0.3">
      <c r="A194" t="s">
        <v>184</v>
      </c>
      <c r="B194">
        <v>140</v>
      </c>
      <c r="C194">
        <v>70</v>
      </c>
      <c r="E194" t="str">
        <f t="shared" si="7"/>
        <v>Premium Bacon Ranch Salad (without Chicken)</v>
      </c>
      <c r="F194">
        <f t="shared" si="8"/>
        <v>140</v>
      </c>
      <c r="G194">
        <f t="shared" si="9"/>
        <v>70</v>
      </c>
    </row>
    <row r="195" spans="1:7" x14ac:dyDescent="0.3">
      <c r="A195" t="s">
        <v>186</v>
      </c>
      <c r="B195">
        <v>380</v>
      </c>
      <c r="C195">
        <v>190</v>
      </c>
      <c r="E195" t="str">
        <f t="shared" si="7"/>
        <v>Premium Bacon Ranch Salad with Crispy Chicken</v>
      </c>
      <c r="F195">
        <f t="shared" si="8"/>
        <v>380</v>
      </c>
      <c r="G195">
        <f t="shared" si="9"/>
        <v>190</v>
      </c>
    </row>
    <row r="196" spans="1:7" x14ac:dyDescent="0.3">
      <c r="A196" t="s">
        <v>188</v>
      </c>
      <c r="B196">
        <v>220</v>
      </c>
      <c r="C196">
        <v>80</v>
      </c>
      <c r="E196" t="str">
        <f t="shared" ref="E196:E259" si="10">A196</f>
        <v>Premium Bacon Ranch Salad with Grilled Chicken</v>
      </c>
      <c r="F196">
        <f t="shared" si="8"/>
        <v>220</v>
      </c>
      <c r="G196">
        <f t="shared" si="9"/>
        <v>80</v>
      </c>
    </row>
    <row r="197" spans="1:7" x14ac:dyDescent="0.3">
      <c r="A197" t="s">
        <v>132</v>
      </c>
      <c r="B197">
        <v>510</v>
      </c>
      <c r="C197">
        <v>200</v>
      </c>
      <c r="E197" t="str">
        <f t="shared" si="10"/>
        <v>Premium Crispy Chicken Classic Sandwich</v>
      </c>
      <c r="F197">
        <f t="shared" si="8"/>
        <v>510</v>
      </c>
      <c r="G197">
        <f t="shared" si="9"/>
        <v>200</v>
      </c>
    </row>
    <row r="198" spans="1:7" x14ac:dyDescent="0.3">
      <c r="A198" t="s">
        <v>136</v>
      </c>
      <c r="B198">
        <v>670</v>
      </c>
      <c r="C198">
        <v>300</v>
      </c>
      <c r="E198" t="str">
        <f t="shared" si="10"/>
        <v>Premium Crispy Chicken Club Sandwich</v>
      </c>
      <c r="F198">
        <f t="shared" si="8"/>
        <v>670</v>
      </c>
      <c r="G198">
        <f t="shared" si="9"/>
        <v>300</v>
      </c>
    </row>
    <row r="199" spans="1:7" x14ac:dyDescent="0.3">
      <c r="A199" t="s">
        <v>139</v>
      </c>
      <c r="B199">
        <v>610</v>
      </c>
      <c r="C199">
        <v>250</v>
      </c>
      <c r="E199" t="str">
        <f t="shared" si="10"/>
        <v>Premium Crispy Chicken Ranch BLT Sandwich</v>
      </c>
      <c r="F199">
        <f t="shared" si="8"/>
        <v>610</v>
      </c>
      <c r="G199">
        <f t="shared" si="9"/>
        <v>250</v>
      </c>
    </row>
    <row r="200" spans="1:7" x14ac:dyDescent="0.3">
      <c r="A200" t="s">
        <v>134</v>
      </c>
      <c r="B200">
        <v>350</v>
      </c>
      <c r="C200">
        <v>80</v>
      </c>
      <c r="E200" t="str">
        <f t="shared" si="10"/>
        <v>Premium Grilled Chicken Classic Sandwich</v>
      </c>
      <c r="F200">
        <f t="shared" si="8"/>
        <v>350</v>
      </c>
      <c r="G200">
        <f t="shared" si="9"/>
        <v>80</v>
      </c>
    </row>
    <row r="201" spans="1:7" x14ac:dyDescent="0.3">
      <c r="A201" t="s">
        <v>138</v>
      </c>
      <c r="B201">
        <v>510</v>
      </c>
      <c r="C201">
        <v>180</v>
      </c>
      <c r="E201" t="str">
        <f t="shared" si="10"/>
        <v>Premium Grilled Chicken Club Sandwich</v>
      </c>
      <c r="F201">
        <f t="shared" si="8"/>
        <v>510</v>
      </c>
      <c r="G201">
        <f t="shared" si="9"/>
        <v>180</v>
      </c>
    </row>
    <row r="202" spans="1:7" x14ac:dyDescent="0.3">
      <c r="A202" t="s">
        <v>141</v>
      </c>
      <c r="B202">
        <v>450</v>
      </c>
      <c r="C202">
        <v>130</v>
      </c>
      <c r="E202" t="str">
        <f t="shared" si="10"/>
        <v>Premium Grilled Chicken Ranch BLT Sandwich</v>
      </c>
      <c r="F202">
        <f t="shared" si="8"/>
        <v>450</v>
      </c>
      <c r="G202">
        <f t="shared" si="9"/>
        <v>130</v>
      </c>
    </row>
    <row r="203" spans="1:7" x14ac:dyDescent="0.3">
      <c r="A203" t="s">
        <v>155</v>
      </c>
      <c r="B203">
        <v>630</v>
      </c>
      <c r="C203">
        <v>280</v>
      </c>
      <c r="E203" t="str">
        <f t="shared" si="10"/>
        <v>Premium McWrap Chicken &amp; Bacon (Crispy Chicken)</v>
      </c>
      <c r="F203">
        <f t="shared" si="8"/>
        <v>630</v>
      </c>
      <c r="G203">
        <f t="shared" si="9"/>
        <v>280</v>
      </c>
    </row>
    <row r="204" spans="1:7" x14ac:dyDescent="0.3">
      <c r="A204" t="s">
        <v>157</v>
      </c>
      <c r="B204">
        <v>480</v>
      </c>
      <c r="C204">
        <v>170</v>
      </c>
      <c r="E204" t="str">
        <f t="shared" si="10"/>
        <v>Premium McWrap Chicken &amp; Bacon (Grilled Chicken)</v>
      </c>
      <c r="F204">
        <f t="shared" si="8"/>
        <v>480</v>
      </c>
      <c r="G204">
        <f t="shared" si="9"/>
        <v>170</v>
      </c>
    </row>
    <row r="205" spans="1:7" x14ac:dyDescent="0.3">
      <c r="A205" t="s">
        <v>159</v>
      </c>
      <c r="B205">
        <v>610</v>
      </c>
      <c r="C205">
        <v>280</v>
      </c>
      <c r="E205" t="str">
        <f t="shared" si="10"/>
        <v>Premium McWrap Chicken &amp; Ranch (Crispy Chicken)</v>
      </c>
      <c r="F205">
        <f t="shared" si="8"/>
        <v>610</v>
      </c>
      <c r="G205">
        <f t="shared" si="9"/>
        <v>280</v>
      </c>
    </row>
    <row r="206" spans="1:7" x14ac:dyDescent="0.3">
      <c r="A206" t="s">
        <v>161</v>
      </c>
      <c r="B206">
        <v>450</v>
      </c>
      <c r="C206">
        <v>160</v>
      </c>
      <c r="E206" t="str">
        <f t="shared" si="10"/>
        <v>Premium McWrap Chicken &amp; Ranch (Grilled Chicken)</v>
      </c>
      <c r="F206">
        <f t="shared" si="8"/>
        <v>450</v>
      </c>
      <c r="G206">
        <f t="shared" si="9"/>
        <v>160</v>
      </c>
    </row>
    <row r="207" spans="1:7" x14ac:dyDescent="0.3">
      <c r="A207" t="s">
        <v>167</v>
      </c>
      <c r="B207">
        <v>540</v>
      </c>
      <c r="C207">
        <v>200</v>
      </c>
      <c r="E207" t="str">
        <f t="shared" si="10"/>
        <v>Premium McWrap Chicken Sweet Chili (Crispy Chicken)</v>
      </c>
      <c r="F207">
        <f t="shared" si="8"/>
        <v>540</v>
      </c>
      <c r="G207">
        <f t="shared" si="9"/>
        <v>200</v>
      </c>
    </row>
    <row r="208" spans="1:7" x14ac:dyDescent="0.3">
      <c r="A208" t="s">
        <v>169</v>
      </c>
      <c r="B208">
        <v>380</v>
      </c>
      <c r="C208">
        <v>90</v>
      </c>
      <c r="E208" t="str">
        <f t="shared" si="10"/>
        <v>Premium McWrap Chicken Sweet Chili (Grilled Chicken)</v>
      </c>
      <c r="F208">
        <f t="shared" si="8"/>
        <v>380</v>
      </c>
      <c r="G208">
        <f t="shared" si="9"/>
        <v>90</v>
      </c>
    </row>
    <row r="209" spans="1:7" x14ac:dyDescent="0.3">
      <c r="A209" t="s">
        <v>163</v>
      </c>
      <c r="B209">
        <v>670</v>
      </c>
      <c r="C209">
        <v>300</v>
      </c>
      <c r="E209" t="str">
        <f t="shared" si="10"/>
        <v>Premium McWrap Southwest Chicken (Crispy Chicken)</v>
      </c>
      <c r="F209">
        <f t="shared" si="8"/>
        <v>670</v>
      </c>
      <c r="G209">
        <f t="shared" si="9"/>
        <v>300</v>
      </c>
    </row>
    <row r="210" spans="1:7" x14ac:dyDescent="0.3">
      <c r="A210" t="s">
        <v>165</v>
      </c>
      <c r="B210">
        <v>520</v>
      </c>
      <c r="C210">
        <v>180</v>
      </c>
      <c r="E210" t="str">
        <f t="shared" si="10"/>
        <v>Premium McWrap Southwest Chicken (Grilled Chicken)</v>
      </c>
      <c r="F210">
        <f t="shared" si="8"/>
        <v>520</v>
      </c>
      <c r="G210">
        <f t="shared" si="9"/>
        <v>180</v>
      </c>
    </row>
    <row r="211" spans="1:7" x14ac:dyDescent="0.3">
      <c r="A211" t="s">
        <v>189</v>
      </c>
      <c r="B211">
        <v>140</v>
      </c>
      <c r="C211">
        <v>40</v>
      </c>
      <c r="E211" t="str">
        <f t="shared" si="10"/>
        <v>Premium Southwest Salad (without Chicken)</v>
      </c>
      <c r="F211">
        <f t="shared" ref="F211:F263" si="11">B211</f>
        <v>140</v>
      </c>
      <c r="G211">
        <f t="shared" ref="G211:G263" si="12">C211</f>
        <v>40</v>
      </c>
    </row>
    <row r="212" spans="1:7" x14ac:dyDescent="0.3">
      <c r="A212" t="s">
        <v>190</v>
      </c>
      <c r="B212">
        <v>450</v>
      </c>
      <c r="C212">
        <v>190</v>
      </c>
      <c r="E212" t="str">
        <f t="shared" si="10"/>
        <v>Premium Southwest Salad with Crispy Chicken</v>
      </c>
      <c r="F212">
        <f t="shared" si="11"/>
        <v>450</v>
      </c>
      <c r="G212">
        <f t="shared" si="12"/>
        <v>190</v>
      </c>
    </row>
    <row r="213" spans="1:7" x14ac:dyDescent="0.3">
      <c r="A213" t="s">
        <v>192</v>
      </c>
      <c r="B213">
        <v>290</v>
      </c>
      <c r="C213">
        <v>80</v>
      </c>
      <c r="E213" t="str">
        <f t="shared" si="10"/>
        <v>Premium Southwest Salad with Grilled Chicken</v>
      </c>
      <c r="F213">
        <f t="shared" si="11"/>
        <v>290</v>
      </c>
      <c r="G213">
        <f t="shared" si="12"/>
        <v>80</v>
      </c>
    </row>
    <row r="214" spans="1:7" x14ac:dyDescent="0.3">
      <c r="A214" t="s">
        <v>112</v>
      </c>
      <c r="B214">
        <v>540</v>
      </c>
      <c r="C214">
        <v>250</v>
      </c>
      <c r="E214" t="str">
        <f t="shared" si="10"/>
        <v>Quarter Pounder Deluxe</v>
      </c>
      <c r="F214">
        <f t="shared" si="11"/>
        <v>540</v>
      </c>
      <c r="G214">
        <f t="shared" si="12"/>
        <v>250</v>
      </c>
    </row>
    <row r="215" spans="1:7" x14ac:dyDescent="0.3">
      <c r="A215" t="s">
        <v>108</v>
      </c>
      <c r="B215">
        <v>600</v>
      </c>
      <c r="C215">
        <v>260</v>
      </c>
      <c r="E215" t="str">
        <f t="shared" si="10"/>
        <v>Quarter Pounder with Bacon &amp; Cheese</v>
      </c>
      <c r="F215">
        <f t="shared" si="11"/>
        <v>600</v>
      </c>
      <c r="G215">
        <f t="shared" si="12"/>
        <v>260</v>
      </c>
    </row>
    <row r="216" spans="1:7" x14ac:dyDescent="0.3">
      <c r="A216" t="s">
        <v>110</v>
      </c>
      <c r="B216">
        <v>610</v>
      </c>
      <c r="C216">
        <v>280</v>
      </c>
      <c r="E216" t="str">
        <f t="shared" si="10"/>
        <v>Quarter Pounder with Bacon Habanero Ranch</v>
      </c>
      <c r="F216">
        <f t="shared" si="11"/>
        <v>610</v>
      </c>
      <c r="G216">
        <f t="shared" si="12"/>
        <v>280</v>
      </c>
    </row>
    <row r="217" spans="1:7" x14ac:dyDescent="0.3">
      <c r="A217" t="s">
        <v>106</v>
      </c>
      <c r="B217">
        <v>520</v>
      </c>
      <c r="C217">
        <v>240</v>
      </c>
      <c r="E217" t="str">
        <f t="shared" si="10"/>
        <v>Quarter Pounder with Cheese</v>
      </c>
      <c r="F217">
        <f t="shared" si="11"/>
        <v>520</v>
      </c>
      <c r="G217">
        <f t="shared" si="12"/>
        <v>240</v>
      </c>
    </row>
    <row r="218" spans="1:7" x14ac:dyDescent="0.3">
      <c r="A218" t="s">
        <v>202</v>
      </c>
      <c r="B218">
        <v>360</v>
      </c>
      <c r="C218">
        <v>180</v>
      </c>
      <c r="E218" t="str">
        <f t="shared" si="10"/>
        <v>Ranch Snack Wrap (Crispy Chicken)</v>
      </c>
      <c r="F218">
        <f t="shared" si="11"/>
        <v>360</v>
      </c>
      <c r="G218">
        <f t="shared" si="12"/>
        <v>180</v>
      </c>
    </row>
    <row r="219" spans="1:7" x14ac:dyDescent="0.3">
      <c r="A219" t="s">
        <v>204</v>
      </c>
      <c r="B219">
        <v>280</v>
      </c>
      <c r="C219">
        <v>120</v>
      </c>
      <c r="E219" t="str">
        <f t="shared" si="10"/>
        <v>Ranch Snack Wrap (Grilled Chicken)</v>
      </c>
      <c r="F219">
        <f t="shared" si="11"/>
        <v>280</v>
      </c>
      <c r="G219">
        <f t="shared" si="12"/>
        <v>120</v>
      </c>
    </row>
    <row r="220" spans="1:7" x14ac:dyDescent="0.3">
      <c r="A220" t="s">
        <v>331</v>
      </c>
      <c r="B220">
        <v>270</v>
      </c>
      <c r="C220">
        <v>80</v>
      </c>
      <c r="E220" t="str">
        <f t="shared" si="10"/>
        <v>Regular Iced Coffee (Large)</v>
      </c>
      <c r="F220">
        <f t="shared" si="11"/>
        <v>270</v>
      </c>
      <c r="G220">
        <f t="shared" si="12"/>
        <v>80</v>
      </c>
    </row>
    <row r="221" spans="1:7" x14ac:dyDescent="0.3">
      <c r="A221" t="s">
        <v>330</v>
      </c>
      <c r="B221">
        <v>190</v>
      </c>
      <c r="C221">
        <v>60</v>
      </c>
      <c r="E221" t="str">
        <f t="shared" si="10"/>
        <v>Regular Iced Coffee (Medium)</v>
      </c>
      <c r="F221">
        <f t="shared" si="11"/>
        <v>190</v>
      </c>
      <c r="G221">
        <f t="shared" si="12"/>
        <v>60</v>
      </c>
    </row>
    <row r="222" spans="1:7" x14ac:dyDescent="0.3">
      <c r="A222" t="s">
        <v>329</v>
      </c>
      <c r="B222">
        <v>140</v>
      </c>
      <c r="C222">
        <v>40</v>
      </c>
      <c r="E222" t="str">
        <f t="shared" si="10"/>
        <v>Regular Iced Coffee (Small)</v>
      </c>
      <c r="F222">
        <f t="shared" si="11"/>
        <v>140</v>
      </c>
      <c r="G222">
        <f t="shared" si="12"/>
        <v>40</v>
      </c>
    </row>
    <row r="223" spans="1:7" x14ac:dyDescent="0.3">
      <c r="A223" t="s">
        <v>46</v>
      </c>
      <c r="B223">
        <v>480</v>
      </c>
      <c r="C223">
        <v>280</v>
      </c>
      <c r="E223" t="str">
        <f t="shared" si="10"/>
        <v>Sausage Biscuit (Large Biscuit)</v>
      </c>
      <c r="F223">
        <f t="shared" si="11"/>
        <v>480</v>
      </c>
      <c r="G223">
        <f t="shared" si="12"/>
        <v>280</v>
      </c>
    </row>
    <row r="224" spans="1:7" x14ac:dyDescent="0.3">
      <c r="A224" t="s">
        <v>44</v>
      </c>
      <c r="B224">
        <v>430</v>
      </c>
      <c r="C224">
        <v>240</v>
      </c>
      <c r="E224" t="str">
        <f t="shared" si="10"/>
        <v>Sausage Biscuit (Regular Biscuit)</v>
      </c>
      <c r="F224">
        <f t="shared" si="11"/>
        <v>430</v>
      </c>
      <c r="G224">
        <f t="shared" si="12"/>
        <v>240</v>
      </c>
    </row>
    <row r="225" spans="1:7" x14ac:dyDescent="0.3">
      <c r="A225" t="s">
        <v>50</v>
      </c>
      <c r="B225">
        <v>570</v>
      </c>
      <c r="C225">
        <v>330</v>
      </c>
      <c r="E225" t="str">
        <f t="shared" si="10"/>
        <v>Sausage Biscuit with Egg (Large Biscuit)</v>
      </c>
      <c r="F225">
        <f t="shared" si="11"/>
        <v>570</v>
      </c>
      <c r="G225">
        <f t="shared" si="12"/>
        <v>330</v>
      </c>
    </row>
    <row r="226" spans="1:7" x14ac:dyDescent="0.3">
      <c r="A226" t="s">
        <v>48</v>
      </c>
      <c r="B226">
        <v>510</v>
      </c>
      <c r="C226">
        <v>290</v>
      </c>
      <c r="E226" t="str">
        <f t="shared" si="10"/>
        <v>Sausage Biscuit with Egg (Regular Biscuit)</v>
      </c>
      <c r="F226">
        <f t="shared" si="11"/>
        <v>510</v>
      </c>
      <c r="G226">
        <f t="shared" si="12"/>
        <v>290</v>
      </c>
    </row>
    <row r="227" spans="1:7" x14ac:dyDescent="0.3">
      <c r="A227" t="s">
        <v>53</v>
      </c>
      <c r="B227">
        <v>520</v>
      </c>
      <c r="C227">
        <v>280</v>
      </c>
      <c r="E227" t="str">
        <f t="shared" si="10"/>
        <v>Sausage Biscuit with Egg Whites (Large Biscuit)</v>
      </c>
      <c r="F227">
        <f t="shared" si="11"/>
        <v>520</v>
      </c>
      <c r="G227">
        <f t="shared" si="12"/>
        <v>280</v>
      </c>
    </row>
    <row r="228" spans="1:7" x14ac:dyDescent="0.3">
      <c r="A228" t="s">
        <v>52</v>
      </c>
      <c r="B228">
        <v>460</v>
      </c>
      <c r="C228">
        <v>250</v>
      </c>
      <c r="E228" t="str">
        <f t="shared" si="10"/>
        <v>Sausage Biscuit with Egg Whites (Regular Biscuit)</v>
      </c>
      <c r="F228">
        <f t="shared" si="11"/>
        <v>460</v>
      </c>
      <c r="G228">
        <f t="shared" si="12"/>
        <v>250</v>
      </c>
    </row>
    <row r="229" spans="1:7" x14ac:dyDescent="0.3">
      <c r="A229" t="s">
        <v>95</v>
      </c>
      <c r="B229">
        <v>300</v>
      </c>
      <c r="C229">
        <v>150</v>
      </c>
      <c r="E229" t="str">
        <f t="shared" si="10"/>
        <v>Sausage Burrito</v>
      </c>
      <c r="F229">
        <f t="shared" si="11"/>
        <v>300</v>
      </c>
      <c r="G229">
        <f t="shared" si="12"/>
        <v>150</v>
      </c>
    </row>
    <row r="230" spans="1:7" x14ac:dyDescent="0.3">
      <c r="A230" t="s">
        <v>65</v>
      </c>
      <c r="B230">
        <v>420</v>
      </c>
      <c r="C230">
        <v>200</v>
      </c>
      <c r="E230" t="str">
        <f t="shared" si="10"/>
        <v>Sausage McGriddles</v>
      </c>
      <c r="F230">
        <f t="shared" si="11"/>
        <v>420</v>
      </c>
      <c r="G230">
        <f t="shared" si="12"/>
        <v>200</v>
      </c>
    </row>
    <row r="231" spans="1:7" x14ac:dyDescent="0.3">
      <c r="A231" t="s">
        <v>29</v>
      </c>
      <c r="B231">
        <v>370</v>
      </c>
      <c r="C231">
        <v>200</v>
      </c>
      <c r="E231" t="str">
        <f t="shared" si="10"/>
        <v>Sausage McMuffin</v>
      </c>
      <c r="F231">
        <f t="shared" si="11"/>
        <v>370</v>
      </c>
      <c r="G231">
        <f t="shared" si="12"/>
        <v>200</v>
      </c>
    </row>
    <row r="232" spans="1:7" x14ac:dyDescent="0.3">
      <c r="A232" t="s">
        <v>31</v>
      </c>
      <c r="B232">
        <v>450</v>
      </c>
      <c r="C232">
        <v>250</v>
      </c>
      <c r="E232" t="str">
        <f t="shared" si="10"/>
        <v>Sausage McMuffin with Egg</v>
      </c>
      <c r="F232">
        <f t="shared" si="11"/>
        <v>450</v>
      </c>
      <c r="G232">
        <f t="shared" si="12"/>
        <v>250</v>
      </c>
    </row>
    <row r="233" spans="1:7" x14ac:dyDescent="0.3">
      <c r="A233" t="s">
        <v>33</v>
      </c>
      <c r="B233">
        <v>400</v>
      </c>
      <c r="C233">
        <v>210</v>
      </c>
      <c r="E233" t="str">
        <f t="shared" si="10"/>
        <v>Sausage McMuffin with Egg Whites</v>
      </c>
      <c r="F233">
        <f t="shared" si="11"/>
        <v>400</v>
      </c>
      <c r="G233">
        <f t="shared" si="12"/>
        <v>210</v>
      </c>
    </row>
    <row r="234" spans="1:7" x14ac:dyDescent="0.3">
      <c r="A234" t="s">
        <v>67</v>
      </c>
      <c r="B234">
        <v>550</v>
      </c>
      <c r="C234">
        <v>280</v>
      </c>
      <c r="E234" t="str">
        <f t="shared" si="10"/>
        <v>Sausage, Egg &amp; Cheese McGriddles</v>
      </c>
      <c r="F234">
        <f t="shared" si="11"/>
        <v>550</v>
      </c>
      <c r="G234">
        <f t="shared" si="12"/>
        <v>280</v>
      </c>
    </row>
    <row r="235" spans="1:7" x14ac:dyDescent="0.3">
      <c r="A235" t="s">
        <v>68</v>
      </c>
      <c r="B235">
        <v>500</v>
      </c>
      <c r="C235">
        <v>230</v>
      </c>
      <c r="E235" t="str">
        <f t="shared" si="10"/>
        <v>Sausage, Egg &amp; Cheese McGriddles with Egg Whites</v>
      </c>
      <c r="F235">
        <f t="shared" si="11"/>
        <v>500</v>
      </c>
      <c r="G235">
        <f t="shared" si="12"/>
        <v>230</v>
      </c>
    </row>
    <row r="236" spans="1:7" x14ac:dyDescent="0.3">
      <c r="A236" t="s">
        <v>386</v>
      </c>
      <c r="B236">
        <v>820</v>
      </c>
      <c r="C236">
        <v>210</v>
      </c>
      <c r="E236" t="str">
        <f t="shared" si="10"/>
        <v>Shamrock Shake (Large)</v>
      </c>
      <c r="F236">
        <f t="shared" si="11"/>
        <v>820</v>
      </c>
      <c r="G236">
        <f t="shared" si="12"/>
        <v>210</v>
      </c>
    </row>
    <row r="237" spans="1:7" x14ac:dyDescent="0.3">
      <c r="A237" t="s">
        <v>385</v>
      </c>
      <c r="B237">
        <v>660</v>
      </c>
      <c r="C237">
        <v>170</v>
      </c>
      <c r="E237" t="str">
        <f t="shared" si="10"/>
        <v>Shamrock Shake (Medium)</v>
      </c>
      <c r="F237">
        <f t="shared" si="11"/>
        <v>660</v>
      </c>
      <c r="G237">
        <f t="shared" si="12"/>
        <v>170</v>
      </c>
    </row>
    <row r="238" spans="1:7" x14ac:dyDescent="0.3">
      <c r="A238" t="s">
        <v>213</v>
      </c>
      <c r="B238">
        <v>20</v>
      </c>
      <c r="C238">
        <v>0</v>
      </c>
      <c r="E238" t="str">
        <f t="shared" si="10"/>
        <v>Side Salad</v>
      </c>
      <c r="F238">
        <f t="shared" si="11"/>
        <v>20</v>
      </c>
      <c r="G238">
        <f t="shared" si="12"/>
        <v>0</v>
      </c>
    </row>
    <row r="239" spans="1:7" x14ac:dyDescent="0.3">
      <c r="A239" t="s">
        <v>206</v>
      </c>
      <c r="B239">
        <v>230</v>
      </c>
      <c r="C239">
        <v>100</v>
      </c>
      <c r="E239" t="str">
        <f t="shared" si="10"/>
        <v>Small French Fries</v>
      </c>
      <c r="F239">
        <f t="shared" si="11"/>
        <v>230</v>
      </c>
      <c r="G239">
        <f t="shared" si="12"/>
        <v>100</v>
      </c>
    </row>
    <row r="240" spans="1:7" x14ac:dyDescent="0.3">
      <c r="A240" t="s">
        <v>57</v>
      </c>
      <c r="B240">
        <v>470</v>
      </c>
      <c r="C240">
        <v>220</v>
      </c>
      <c r="E240" t="str">
        <f t="shared" si="10"/>
        <v>Southern Style Chicken Biscuit (Large Biscuit)</v>
      </c>
      <c r="F240">
        <f t="shared" si="11"/>
        <v>470</v>
      </c>
      <c r="G240">
        <f t="shared" si="12"/>
        <v>220</v>
      </c>
    </row>
    <row r="241" spans="1:7" x14ac:dyDescent="0.3">
      <c r="A241" t="s">
        <v>55</v>
      </c>
      <c r="B241">
        <v>410</v>
      </c>
      <c r="C241">
        <v>180</v>
      </c>
      <c r="E241" t="str">
        <f t="shared" si="10"/>
        <v>Southern Style Chicken Biscuit (Regular Biscuit)</v>
      </c>
      <c r="F241">
        <f t="shared" si="11"/>
        <v>410</v>
      </c>
      <c r="G241">
        <f t="shared" si="12"/>
        <v>180</v>
      </c>
    </row>
    <row r="242" spans="1:7" x14ac:dyDescent="0.3">
      <c r="A242" t="s">
        <v>146</v>
      </c>
      <c r="B242">
        <v>430</v>
      </c>
      <c r="C242">
        <v>170</v>
      </c>
      <c r="E242" t="str">
        <f t="shared" si="10"/>
        <v>Southern Style Crispy Chicken Sandwich</v>
      </c>
      <c r="F242">
        <f t="shared" si="11"/>
        <v>430</v>
      </c>
      <c r="G242">
        <f t="shared" si="12"/>
        <v>170</v>
      </c>
    </row>
    <row r="243" spans="1:7" x14ac:dyDescent="0.3">
      <c r="A243" t="s">
        <v>256</v>
      </c>
      <c r="B243">
        <v>100</v>
      </c>
      <c r="C243">
        <v>0</v>
      </c>
      <c r="E243" t="str">
        <f t="shared" si="10"/>
        <v>Sprite (Child)</v>
      </c>
      <c r="F243">
        <f t="shared" si="11"/>
        <v>100</v>
      </c>
      <c r="G243">
        <f t="shared" si="12"/>
        <v>0</v>
      </c>
    </row>
    <row r="244" spans="1:7" x14ac:dyDescent="0.3">
      <c r="A244" t="s">
        <v>255</v>
      </c>
      <c r="B244">
        <v>280</v>
      </c>
      <c r="C244">
        <v>0</v>
      </c>
      <c r="E244" t="str">
        <f t="shared" si="10"/>
        <v>Sprite (Large)</v>
      </c>
      <c r="F244">
        <f t="shared" si="11"/>
        <v>280</v>
      </c>
      <c r="G244">
        <f t="shared" si="12"/>
        <v>0</v>
      </c>
    </row>
    <row r="245" spans="1:7" x14ac:dyDescent="0.3">
      <c r="A245" t="s">
        <v>254</v>
      </c>
      <c r="B245">
        <v>200</v>
      </c>
      <c r="C245">
        <v>0</v>
      </c>
      <c r="E245" t="str">
        <f t="shared" si="10"/>
        <v>Sprite (Medium)</v>
      </c>
      <c r="F245">
        <f t="shared" si="11"/>
        <v>200</v>
      </c>
      <c r="G245">
        <f t="shared" si="12"/>
        <v>0</v>
      </c>
    </row>
    <row r="246" spans="1:7" x14ac:dyDescent="0.3">
      <c r="A246" t="s">
        <v>253</v>
      </c>
      <c r="B246">
        <v>140</v>
      </c>
      <c r="C246">
        <v>0</v>
      </c>
      <c r="E246" t="str">
        <f t="shared" si="10"/>
        <v>Sprite (Small)</v>
      </c>
      <c r="F246">
        <f t="shared" si="11"/>
        <v>140</v>
      </c>
      <c r="G246">
        <f t="shared" si="12"/>
        <v>0</v>
      </c>
    </row>
    <row r="247" spans="1:7" x14ac:dyDescent="0.3">
      <c r="A247" t="s">
        <v>59</v>
      </c>
      <c r="B247">
        <v>540</v>
      </c>
      <c r="C247">
        <v>290</v>
      </c>
      <c r="E247" t="str">
        <f t="shared" si="10"/>
        <v>Steak &amp; Egg Biscuit (Regular Biscuit)</v>
      </c>
      <c r="F247">
        <f t="shared" si="11"/>
        <v>540</v>
      </c>
      <c r="G247">
        <f t="shared" si="12"/>
        <v>290</v>
      </c>
    </row>
    <row r="248" spans="1:7" x14ac:dyDescent="0.3">
      <c r="A248" t="s">
        <v>34</v>
      </c>
      <c r="B248">
        <v>430</v>
      </c>
      <c r="C248">
        <v>210</v>
      </c>
      <c r="E248" t="str">
        <f t="shared" si="10"/>
        <v>Steak &amp; Egg McMuffin</v>
      </c>
      <c r="F248">
        <f t="shared" si="11"/>
        <v>430</v>
      </c>
      <c r="G248">
        <f t="shared" si="12"/>
        <v>210</v>
      </c>
    </row>
    <row r="249" spans="1:7" x14ac:dyDescent="0.3">
      <c r="A249" t="s">
        <v>73</v>
      </c>
      <c r="B249">
        <v>670</v>
      </c>
      <c r="C249">
        <v>310</v>
      </c>
      <c r="E249" t="str">
        <f t="shared" si="10"/>
        <v>Steak, Egg &amp; Cheese Bagel</v>
      </c>
      <c r="F249">
        <f t="shared" si="11"/>
        <v>670</v>
      </c>
      <c r="G249">
        <f t="shared" si="12"/>
        <v>310</v>
      </c>
    </row>
    <row r="250" spans="1:7" x14ac:dyDescent="0.3">
      <c r="A250" t="s">
        <v>372</v>
      </c>
      <c r="B250">
        <v>330</v>
      </c>
      <c r="C250">
        <v>10</v>
      </c>
      <c r="E250" t="str">
        <f t="shared" si="10"/>
        <v>Strawberry Banana Smoothie (Large)</v>
      </c>
      <c r="F250">
        <f t="shared" si="11"/>
        <v>330</v>
      </c>
      <c r="G250">
        <f t="shared" si="12"/>
        <v>10</v>
      </c>
    </row>
    <row r="251" spans="1:7" x14ac:dyDescent="0.3">
      <c r="A251" t="s">
        <v>371</v>
      </c>
      <c r="B251">
        <v>250</v>
      </c>
      <c r="C251">
        <v>5</v>
      </c>
      <c r="E251" t="str">
        <f t="shared" si="10"/>
        <v>Strawberry Banana Smoothie (Medium)</v>
      </c>
      <c r="F251">
        <f t="shared" si="11"/>
        <v>250</v>
      </c>
      <c r="G251">
        <f t="shared" si="12"/>
        <v>5</v>
      </c>
    </row>
    <row r="252" spans="1:7" x14ac:dyDescent="0.3">
      <c r="A252" t="s">
        <v>370</v>
      </c>
      <c r="B252">
        <v>210</v>
      </c>
      <c r="C252">
        <v>5</v>
      </c>
      <c r="E252" t="str">
        <f t="shared" si="10"/>
        <v>Strawberry Banana Smoothie (Small)</v>
      </c>
      <c r="F252">
        <f t="shared" si="11"/>
        <v>210</v>
      </c>
      <c r="G252">
        <f t="shared" si="12"/>
        <v>5</v>
      </c>
    </row>
    <row r="253" spans="1:7" x14ac:dyDescent="0.3">
      <c r="A253" t="s">
        <v>381</v>
      </c>
      <c r="B253">
        <v>850</v>
      </c>
      <c r="C253">
        <v>210</v>
      </c>
      <c r="E253" t="str">
        <f t="shared" si="10"/>
        <v>Strawberry Shake (Large)</v>
      </c>
      <c r="F253">
        <f t="shared" si="11"/>
        <v>850</v>
      </c>
      <c r="G253">
        <f t="shared" si="12"/>
        <v>210</v>
      </c>
    </row>
    <row r="254" spans="1:7" x14ac:dyDescent="0.3">
      <c r="A254" t="s">
        <v>380</v>
      </c>
      <c r="B254">
        <v>690</v>
      </c>
      <c r="C254">
        <v>180</v>
      </c>
      <c r="E254" t="str">
        <f t="shared" si="10"/>
        <v>Strawberry Shake (Medium)</v>
      </c>
      <c r="F254">
        <f t="shared" si="11"/>
        <v>690</v>
      </c>
      <c r="G254">
        <f t="shared" si="12"/>
        <v>180</v>
      </c>
    </row>
    <row r="255" spans="1:7" x14ac:dyDescent="0.3">
      <c r="A255" t="s">
        <v>379</v>
      </c>
      <c r="B255">
        <v>550</v>
      </c>
      <c r="C255">
        <v>150</v>
      </c>
      <c r="E255" t="str">
        <f t="shared" si="10"/>
        <v>Strawberry Shake (Small)</v>
      </c>
      <c r="F255">
        <f t="shared" si="11"/>
        <v>550</v>
      </c>
      <c r="G255">
        <f t="shared" si="12"/>
        <v>150</v>
      </c>
    </row>
    <row r="256" spans="1:7" x14ac:dyDescent="0.3">
      <c r="A256" t="s">
        <v>231</v>
      </c>
      <c r="B256">
        <v>280</v>
      </c>
      <c r="C256">
        <v>60</v>
      </c>
      <c r="E256" t="str">
        <f t="shared" si="10"/>
        <v>Strawberry Sundae</v>
      </c>
      <c r="F256">
        <f t="shared" si="11"/>
        <v>280</v>
      </c>
      <c r="G256">
        <f t="shared" si="12"/>
        <v>60</v>
      </c>
    </row>
    <row r="257" spans="1:7" x14ac:dyDescent="0.3">
      <c r="A257" t="s">
        <v>276</v>
      </c>
      <c r="B257">
        <v>110</v>
      </c>
      <c r="C257">
        <v>0</v>
      </c>
      <c r="E257" t="str">
        <f t="shared" si="10"/>
        <v>Sweet Tea (Child)</v>
      </c>
      <c r="F257">
        <f t="shared" si="11"/>
        <v>110</v>
      </c>
      <c r="G257">
        <f t="shared" si="12"/>
        <v>0</v>
      </c>
    </row>
    <row r="258" spans="1:7" x14ac:dyDescent="0.3">
      <c r="A258" t="s">
        <v>275</v>
      </c>
      <c r="B258">
        <v>220</v>
      </c>
      <c r="C258">
        <v>0</v>
      </c>
      <c r="E258" t="str">
        <f t="shared" si="10"/>
        <v>Sweet Tea (Large)</v>
      </c>
      <c r="F258">
        <f t="shared" si="11"/>
        <v>220</v>
      </c>
      <c r="G258">
        <f t="shared" si="12"/>
        <v>0</v>
      </c>
    </row>
    <row r="259" spans="1:7" x14ac:dyDescent="0.3">
      <c r="A259" t="s">
        <v>274</v>
      </c>
      <c r="B259">
        <v>180</v>
      </c>
      <c r="C259">
        <v>0</v>
      </c>
      <c r="E259" t="str">
        <f t="shared" si="10"/>
        <v>Sweet Tea (Medium)</v>
      </c>
      <c r="F259">
        <f t="shared" si="11"/>
        <v>180</v>
      </c>
      <c r="G259">
        <f t="shared" si="12"/>
        <v>0</v>
      </c>
    </row>
    <row r="260" spans="1:7" x14ac:dyDescent="0.3">
      <c r="A260" t="s">
        <v>273</v>
      </c>
      <c r="B260">
        <v>150</v>
      </c>
      <c r="C260">
        <v>0</v>
      </c>
      <c r="E260" t="str">
        <f t="shared" ref="E260:E263" si="13">A260</f>
        <v>Sweet Tea (Small)</v>
      </c>
      <c r="F260">
        <f t="shared" si="11"/>
        <v>150</v>
      </c>
      <c r="G260">
        <f t="shared" si="12"/>
        <v>0</v>
      </c>
    </row>
    <row r="261" spans="1:7" x14ac:dyDescent="0.3">
      <c r="A261" t="s">
        <v>378</v>
      </c>
      <c r="B261">
        <v>820</v>
      </c>
      <c r="C261">
        <v>210</v>
      </c>
      <c r="E261" t="str">
        <f t="shared" si="13"/>
        <v>Vanilla Shake (Large)</v>
      </c>
      <c r="F261">
        <f t="shared" si="11"/>
        <v>820</v>
      </c>
      <c r="G261">
        <f t="shared" si="12"/>
        <v>210</v>
      </c>
    </row>
    <row r="262" spans="1:7" x14ac:dyDescent="0.3">
      <c r="A262" t="s">
        <v>377</v>
      </c>
      <c r="B262">
        <v>660</v>
      </c>
      <c r="C262">
        <v>170</v>
      </c>
      <c r="E262" t="str">
        <f t="shared" si="13"/>
        <v>Vanilla Shake (Medium)</v>
      </c>
      <c r="F262">
        <f t="shared" si="11"/>
        <v>660</v>
      </c>
      <c r="G262">
        <f t="shared" si="12"/>
        <v>170</v>
      </c>
    </row>
    <row r="263" spans="1:7" x14ac:dyDescent="0.3">
      <c r="A263" t="s">
        <v>376</v>
      </c>
      <c r="B263">
        <v>530</v>
      </c>
      <c r="C263">
        <v>140</v>
      </c>
      <c r="E263" t="str">
        <f t="shared" si="13"/>
        <v>Vanilla Shake (Small)</v>
      </c>
      <c r="F263">
        <f t="shared" si="11"/>
        <v>530</v>
      </c>
      <c r="G263">
        <f t="shared" si="12"/>
        <v>140</v>
      </c>
    </row>
    <row r="264" spans="1:7" x14ac:dyDescent="0.3">
      <c r="A264" t="s">
        <v>400</v>
      </c>
      <c r="B264">
        <v>95750</v>
      </c>
      <c r="C264">
        <v>33045</v>
      </c>
    </row>
  </sheetData>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D07E3-6DCB-4779-892D-B15833A38E64}">
  <dimension ref="A1:N263"/>
  <sheetViews>
    <sheetView workbookViewId="0">
      <selection activeCell="D23" sqref="D23"/>
    </sheetView>
  </sheetViews>
  <sheetFormatPr defaultRowHeight="14.4" x14ac:dyDescent="0.3"/>
  <cols>
    <col min="1" max="1" width="49.21875" bestFit="1" customWidth="1"/>
    <col min="2" max="2" width="16.21875" bestFit="1" customWidth="1"/>
    <col min="3" max="3" width="20" bestFit="1" customWidth="1"/>
    <col min="4" max="4" width="33.33203125" bestFit="1" customWidth="1"/>
    <col min="5" max="5" width="51.5546875" bestFit="1" customWidth="1"/>
    <col min="6" max="6" width="16.21875" bestFit="1" customWidth="1"/>
    <col min="7" max="7" width="20.88671875" customWidth="1"/>
    <col min="9" max="9" width="37.109375" bestFit="1" customWidth="1"/>
    <col min="10" max="10" width="49.21875" bestFit="1" customWidth="1"/>
    <col min="11" max="11" width="20" bestFit="1" customWidth="1"/>
  </cols>
  <sheetData>
    <row r="1" spans="1:12" x14ac:dyDescent="0.3">
      <c r="I1">
        <v>4</v>
      </c>
      <c r="J1" t="s">
        <v>412</v>
      </c>
    </row>
    <row r="3" spans="1:12" x14ac:dyDescent="0.3">
      <c r="A3" s="1" t="s">
        <v>1</v>
      </c>
      <c r="B3" s="1" t="s">
        <v>0</v>
      </c>
      <c r="C3" t="s">
        <v>411</v>
      </c>
      <c r="E3" t="s">
        <v>1</v>
      </c>
      <c r="F3" t="s">
        <v>0</v>
      </c>
      <c r="G3" t="s">
        <v>423</v>
      </c>
      <c r="J3" s="10" t="s">
        <v>1</v>
      </c>
      <c r="K3" s="11" t="s">
        <v>0</v>
      </c>
      <c r="L3" s="12" t="s">
        <v>423</v>
      </c>
    </row>
    <row r="4" spans="1:12" x14ac:dyDescent="0.3">
      <c r="A4" t="s">
        <v>85</v>
      </c>
      <c r="B4" t="s">
        <v>24</v>
      </c>
      <c r="C4">
        <v>116</v>
      </c>
      <c r="E4" t="s">
        <v>85</v>
      </c>
      <c r="F4" t="s">
        <v>24</v>
      </c>
      <c r="G4">
        <v>116</v>
      </c>
      <c r="J4" t="str" cm="1">
        <f t="array" ref="J4:L11">IF(Dashboard!D54&lt;=COUNT(Carbs[Carbohydrates (gm)]),_xlfn._xlws.SORT(_xlfn._xlws.FILTER(Carbs[],Carbs[Carbohydrates (gm)]&gt;=LARGE(Carbs[Carbohydrates (gm)],Dashboard!D54)),{3,1},{-1,1}),"Too Large Input")</f>
        <v>Chocolate Shake (Large)</v>
      </c>
      <c r="K4" t="str">
        <v>Smoothies_Shakes</v>
      </c>
      <c r="L4">
        <v>141</v>
      </c>
    </row>
    <row r="5" spans="1:12" x14ac:dyDescent="0.3">
      <c r="A5" t="s">
        <v>89</v>
      </c>
      <c r="B5" t="s">
        <v>24</v>
      </c>
      <c r="C5">
        <v>115</v>
      </c>
      <c r="E5" t="s">
        <v>83</v>
      </c>
      <c r="F5" t="s">
        <v>24</v>
      </c>
      <c r="G5">
        <v>111</v>
      </c>
      <c r="J5" t="str">
        <v>Strawberry Shake (Large)</v>
      </c>
      <c r="K5" t="str">
        <v>Smoothies_Shakes</v>
      </c>
      <c r="L5">
        <v>140</v>
      </c>
    </row>
    <row r="6" spans="1:12" x14ac:dyDescent="0.3">
      <c r="A6" t="s">
        <v>179</v>
      </c>
      <c r="B6" t="s">
        <v>414</v>
      </c>
      <c r="C6">
        <v>118</v>
      </c>
      <c r="E6" t="s">
        <v>89</v>
      </c>
      <c r="F6" t="s">
        <v>24</v>
      </c>
      <c r="G6">
        <v>115</v>
      </c>
      <c r="J6" t="str">
        <v>McFlurry with M&amp;Mâ€™s Candies (Medium)</v>
      </c>
      <c r="K6" t="str">
        <v>Smoothies_Shakes</v>
      </c>
      <c r="L6">
        <v>139</v>
      </c>
    </row>
    <row r="7" spans="1:12" x14ac:dyDescent="0.3">
      <c r="A7" t="s">
        <v>384</v>
      </c>
      <c r="B7" t="s">
        <v>415</v>
      </c>
      <c r="C7">
        <v>141</v>
      </c>
      <c r="E7" t="s">
        <v>87</v>
      </c>
      <c r="F7" t="s">
        <v>24</v>
      </c>
      <c r="G7">
        <v>110</v>
      </c>
      <c r="J7" t="str">
        <v>Shamrock Shake (Large)</v>
      </c>
      <c r="K7" t="str">
        <v>Smoothies_Shakes</v>
      </c>
      <c r="L7">
        <v>135</v>
      </c>
    </row>
    <row r="8" spans="1:12" x14ac:dyDescent="0.3">
      <c r="A8" t="s">
        <v>383</v>
      </c>
      <c r="B8" t="s">
        <v>415</v>
      </c>
      <c r="C8">
        <v>114</v>
      </c>
      <c r="E8" t="s">
        <v>179</v>
      </c>
      <c r="F8" t="s">
        <v>414</v>
      </c>
      <c r="G8">
        <v>118</v>
      </c>
      <c r="J8" t="str">
        <v>Vanilla Shake (Large)</v>
      </c>
      <c r="K8" t="str">
        <v>Smoothies_Shakes</v>
      </c>
      <c r="L8">
        <v>135</v>
      </c>
    </row>
    <row r="9" spans="1:12" x14ac:dyDescent="0.3">
      <c r="A9" t="s">
        <v>388</v>
      </c>
      <c r="B9" t="s">
        <v>415</v>
      </c>
      <c r="C9">
        <v>139</v>
      </c>
      <c r="E9" t="s">
        <v>384</v>
      </c>
      <c r="F9" t="s">
        <v>415</v>
      </c>
      <c r="G9">
        <v>141</v>
      </c>
      <c r="J9" t="str">
        <v>Chicken McNuggets (40 piece)</v>
      </c>
      <c r="K9" t="str">
        <v>Chicken_Fish</v>
      </c>
      <c r="L9">
        <v>118</v>
      </c>
    </row>
    <row r="10" spans="1:12" x14ac:dyDescent="0.3">
      <c r="A10" t="s">
        <v>397</v>
      </c>
      <c r="B10" t="s">
        <v>415</v>
      </c>
      <c r="C10">
        <v>114</v>
      </c>
      <c r="E10" t="s">
        <v>383</v>
      </c>
      <c r="F10" t="s">
        <v>415</v>
      </c>
      <c r="G10">
        <v>114</v>
      </c>
      <c r="J10" t="str">
        <v>Big Breakfast with Hotcakes (Large Biscuit)</v>
      </c>
      <c r="K10" t="str">
        <v>Breakfast</v>
      </c>
      <c r="L10">
        <v>116</v>
      </c>
    </row>
    <row r="11" spans="1:12" x14ac:dyDescent="0.3">
      <c r="A11" t="s">
        <v>386</v>
      </c>
      <c r="B11" t="s">
        <v>415</v>
      </c>
      <c r="C11">
        <v>135</v>
      </c>
      <c r="E11" t="s">
        <v>362</v>
      </c>
      <c r="F11" t="s">
        <v>416</v>
      </c>
      <c r="G11">
        <v>96</v>
      </c>
      <c r="J11" t="str">
        <v>Big Breakfast with Hotcakes and Egg Whites (Large Biscuit)</v>
      </c>
      <c r="K11" t="str">
        <v>Breakfast</v>
      </c>
      <c r="L11">
        <v>115</v>
      </c>
    </row>
    <row r="12" spans="1:12" x14ac:dyDescent="0.3">
      <c r="A12" t="s">
        <v>381</v>
      </c>
      <c r="B12" t="s">
        <v>415</v>
      </c>
      <c r="C12">
        <v>140</v>
      </c>
      <c r="E12" t="s">
        <v>365</v>
      </c>
      <c r="F12" t="s">
        <v>416</v>
      </c>
      <c r="G12">
        <v>111</v>
      </c>
    </row>
    <row r="13" spans="1:12" x14ac:dyDescent="0.3">
      <c r="A13" t="s">
        <v>378</v>
      </c>
      <c r="B13" t="s">
        <v>415</v>
      </c>
      <c r="C13">
        <v>135</v>
      </c>
      <c r="E13" t="s">
        <v>359</v>
      </c>
      <c r="F13" t="s">
        <v>416</v>
      </c>
      <c r="G13">
        <v>98</v>
      </c>
    </row>
    <row r="14" spans="1:12" x14ac:dyDescent="0.3">
      <c r="A14" t="s">
        <v>400</v>
      </c>
      <c r="C14">
        <v>1267</v>
      </c>
      <c r="E14" t="s">
        <v>388</v>
      </c>
      <c r="F14" t="s">
        <v>415</v>
      </c>
      <c r="G14">
        <v>139</v>
      </c>
    </row>
    <row r="15" spans="1:12" x14ac:dyDescent="0.3">
      <c r="E15" t="s">
        <v>387</v>
      </c>
      <c r="F15" t="s">
        <v>415</v>
      </c>
      <c r="G15">
        <v>96</v>
      </c>
    </row>
    <row r="16" spans="1:12" x14ac:dyDescent="0.3">
      <c r="E16" t="s">
        <v>394</v>
      </c>
      <c r="F16" t="s">
        <v>415</v>
      </c>
      <c r="G16">
        <v>106</v>
      </c>
    </row>
    <row r="17" spans="5:14" x14ac:dyDescent="0.3">
      <c r="E17" t="s">
        <v>397</v>
      </c>
      <c r="F17" t="s">
        <v>415</v>
      </c>
      <c r="G17">
        <v>114</v>
      </c>
    </row>
    <row r="18" spans="5:14" x14ac:dyDescent="0.3">
      <c r="E18" t="s">
        <v>386</v>
      </c>
      <c r="F18" t="s">
        <v>415</v>
      </c>
      <c r="G18">
        <v>135</v>
      </c>
    </row>
    <row r="19" spans="5:14" x14ac:dyDescent="0.3">
      <c r="E19" t="s">
        <v>385</v>
      </c>
      <c r="F19" t="s">
        <v>415</v>
      </c>
      <c r="G19">
        <v>109</v>
      </c>
    </row>
    <row r="20" spans="5:14" x14ac:dyDescent="0.3">
      <c r="E20" t="s">
        <v>381</v>
      </c>
      <c r="F20" t="s">
        <v>415</v>
      </c>
      <c r="G20">
        <v>140</v>
      </c>
    </row>
    <row r="21" spans="5:14" x14ac:dyDescent="0.3">
      <c r="E21" t="s">
        <v>380</v>
      </c>
      <c r="F21" t="s">
        <v>415</v>
      </c>
      <c r="G21">
        <v>114</v>
      </c>
    </row>
    <row r="22" spans="5:14" x14ac:dyDescent="0.3">
      <c r="E22" t="s">
        <v>378</v>
      </c>
      <c r="F22" t="s">
        <v>415</v>
      </c>
      <c r="G22">
        <v>135</v>
      </c>
    </row>
    <row r="23" spans="5:14" x14ac:dyDescent="0.3">
      <c r="E23" t="s">
        <v>377</v>
      </c>
      <c r="F23" t="s">
        <v>415</v>
      </c>
      <c r="G23">
        <v>109</v>
      </c>
      <c r="N23" t="str">
        <f>_xlfn.CONCAT("Top ",Dashboard!D54," items with high carbohydrates")</f>
        <v>Top 8 items with high carbohydrates</v>
      </c>
    </row>
    <row r="24" spans="5:14" x14ac:dyDescent="0.3">
      <c r="E24" t="s">
        <v>257</v>
      </c>
      <c r="F24" t="s">
        <v>232</v>
      </c>
      <c r="G24">
        <v>12</v>
      </c>
    </row>
    <row r="25" spans="5:14" x14ac:dyDescent="0.3">
      <c r="E25" t="s">
        <v>215</v>
      </c>
      <c r="F25" t="s">
        <v>417</v>
      </c>
      <c r="G25">
        <v>4</v>
      </c>
    </row>
    <row r="26" spans="5:14" x14ac:dyDescent="0.3">
      <c r="E26" t="s">
        <v>152</v>
      </c>
      <c r="F26" t="s">
        <v>414</v>
      </c>
      <c r="G26">
        <v>41</v>
      </c>
    </row>
    <row r="27" spans="5:14" x14ac:dyDescent="0.3">
      <c r="E27" t="s">
        <v>150</v>
      </c>
      <c r="F27" t="s">
        <v>414</v>
      </c>
      <c r="G27">
        <v>43</v>
      </c>
    </row>
    <row r="28" spans="5:14" x14ac:dyDescent="0.3">
      <c r="E28" t="s">
        <v>120</v>
      </c>
      <c r="F28" t="s">
        <v>413</v>
      </c>
      <c r="G28">
        <v>51</v>
      </c>
    </row>
    <row r="29" spans="5:14" x14ac:dyDescent="0.3">
      <c r="E29" t="s">
        <v>143</v>
      </c>
      <c r="F29" t="s">
        <v>414</v>
      </c>
      <c r="G29">
        <v>65</v>
      </c>
    </row>
    <row r="30" spans="5:14" x14ac:dyDescent="0.3">
      <c r="E30" t="s">
        <v>145</v>
      </c>
      <c r="F30" t="s">
        <v>414</v>
      </c>
      <c r="G30">
        <v>51</v>
      </c>
    </row>
    <row r="31" spans="5:14" x14ac:dyDescent="0.3">
      <c r="E31" t="s">
        <v>124</v>
      </c>
      <c r="F31" t="s">
        <v>413</v>
      </c>
      <c r="G31">
        <v>35</v>
      </c>
    </row>
    <row r="32" spans="5:14" x14ac:dyDescent="0.3">
      <c r="E32" t="s">
        <v>70</v>
      </c>
      <c r="F32" t="s">
        <v>24</v>
      </c>
      <c r="G32">
        <v>57</v>
      </c>
    </row>
    <row r="33" spans="5:7" x14ac:dyDescent="0.3">
      <c r="E33" t="s">
        <v>72</v>
      </c>
      <c r="F33" t="s">
        <v>24</v>
      </c>
      <c r="G33">
        <v>55</v>
      </c>
    </row>
    <row r="34" spans="5:7" x14ac:dyDescent="0.3">
      <c r="E34" t="s">
        <v>38</v>
      </c>
      <c r="F34" t="s">
        <v>24</v>
      </c>
      <c r="G34">
        <v>43</v>
      </c>
    </row>
    <row r="35" spans="5:7" x14ac:dyDescent="0.3">
      <c r="E35" t="s">
        <v>36</v>
      </c>
      <c r="F35" t="s">
        <v>24</v>
      </c>
      <c r="G35">
        <v>38</v>
      </c>
    </row>
    <row r="36" spans="5:7" x14ac:dyDescent="0.3">
      <c r="E36" t="s">
        <v>42</v>
      </c>
      <c r="F36" t="s">
        <v>24</v>
      </c>
      <c r="G36">
        <v>42</v>
      </c>
    </row>
    <row r="37" spans="5:7" x14ac:dyDescent="0.3">
      <c r="E37" t="s">
        <v>40</v>
      </c>
      <c r="F37" t="s">
        <v>24</v>
      </c>
      <c r="G37">
        <v>36</v>
      </c>
    </row>
    <row r="38" spans="5:7" x14ac:dyDescent="0.3">
      <c r="E38" t="s">
        <v>61</v>
      </c>
      <c r="F38" t="s">
        <v>24</v>
      </c>
      <c r="G38">
        <v>48</v>
      </c>
    </row>
    <row r="39" spans="5:7" x14ac:dyDescent="0.3">
      <c r="E39" t="s">
        <v>63</v>
      </c>
      <c r="F39" t="s">
        <v>24</v>
      </c>
      <c r="G39">
        <v>47</v>
      </c>
    </row>
    <row r="40" spans="5:7" x14ac:dyDescent="0.3">
      <c r="E40" t="s">
        <v>220</v>
      </c>
      <c r="F40" t="s">
        <v>219</v>
      </c>
      <c r="G40">
        <v>32</v>
      </c>
    </row>
    <row r="41" spans="5:7" x14ac:dyDescent="0.3">
      <c r="E41" t="s">
        <v>77</v>
      </c>
      <c r="F41" t="s">
        <v>24</v>
      </c>
      <c r="G41">
        <v>56</v>
      </c>
    </row>
    <row r="42" spans="5:7" x14ac:dyDescent="0.3">
      <c r="E42" t="s">
        <v>75</v>
      </c>
      <c r="F42" t="s">
        <v>24</v>
      </c>
      <c r="G42">
        <v>51</v>
      </c>
    </row>
    <row r="43" spans="5:7" x14ac:dyDescent="0.3">
      <c r="E43" t="s">
        <v>81</v>
      </c>
      <c r="F43" t="s">
        <v>24</v>
      </c>
      <c r="G43">
        <v>55</v>
      </c>
    </row>
    <row r="44" spans="5:7" x14ac:dyDescent="0.3">
      <c r="E44" t="s">
        <v>79</v>
      </c>
      <c r="F44" t="s">
        <v>24</v>
      </c>
      <c r="G44">
        <v>50</v>
      </c>
    </row>
    <row r="45" spans="5:7" x14ac:dyDescent="0.3">
      <c r="E45" t="s">
        <v>104</v>
      </c>
      <c r="F45" t="s">
        <v>413</v>
      </c>
      <c r="G45">
        <v>47</v>
      </c>
    </row>
    <row r="46" spans="5:7" x14ac:dyDescent="0.3">
      <c r="E46" t="s">
        <v>369</v>
      </c>
      <c r="F46" t="s">
        <v>415</v>
      </c>
      <c r="G46">
        <v>79</v>
      </c>
    </row>
    <row r="47" spans="5:7" x14ac:dyDescent="0.3">
      <c r="E47" t="s">
        <v>368</v>
      </c>
      <c r="F47" t="s">
        <v>415</v>
      </c>
      <c r="G47">
        <v>62</v>
      </c>
    </row>
    <row r="48" spans="5:7" x14ac:dyDescent="0.3">
      <c r="E48" t="s">
        <v>367</v>
      </c>
      <c r="F48" t="s">
        <v>415</v>
      </c>
      <c r="G48">
        <v>50</v>
      </c>
    </row>
    <row r="49" spans="5:7" x14ac:dyDescent="0.3">
      <c r="E49" t="s">
        <v>153</v>
      </c>
      <c r="F49" t="s">
        <v>414</v>
      </c>
      <c r="G49">
        <v>40</v>
      </c>
    </row>
    <row r="50" spans="5:7" x14ac:dyDescent="0.3">
      <c r="E50" t="s">
        <v>335</v>
      </c>
      <c r="F50" t="s">
        <v>416</v>
      </c>
      <c r="G50">
        <v>43</v>
      </c>
    </row>
    <row r="51" spans="5:7" x14ac:dyDescent="0.3">
      <c r="E51" t="s">
        <v>334</v>
      </c>
      <c r="F51" t="s">
        <v>416</v>
      </c>
      <c r="G51">
        <v>29</v>
      </c>
    </row>
    <row r="52" spans="5:7" x14ac:dyDescent="0.3">
      <c r="E52" t="s">
        <v>333</v>
      </c>
      <c r="F52" t="s">
        <v>416</v>
      </c>
      <c r="G52">
        <v>22</v>
      </c>
    </row>
    <row r="53" spans="5:7" x14ac:dyDescent="0.3">
      <c r="E53" t="s">
        <v>286</v>
      </c>
      <c r="F53" t="s">
        <v>416</v>
      </c>
      <c r="G53">
        <v>62</v>
      </c>
    </row>
    <row r="54" spans="5:7" x14ac:dyDescent="0.3">
      <c r="E54" t="s">
        <v>285</v>
      </c>
      <c r="F54" t="s">
        <v>416</v>
      </c>
      <c r="G54">
        <v>50</v>
      </c>
    </row>
    <row r="55" spans="5:7" x14ac:dyDescent="0.3">
      <c r="E55" t="s">
        <v>284</v>
      </c>
      <c r="F55" t="s">
        <v>416</v>
      </c>
      <c r="G55">
        <v>40</v>
      </c>
    </row>
    <row r="56" spans="5:7" x14ac:dyDescent="0.3">
      <c r="E56" t="s">
        <v>319</v>
      </c>
      <c r="F56" t="s">
        <v>416</v>
      </c>
      <c r="G56">
        <v>66</v>
      </c>
    </row>
    <row r="57" spans="5:7" x14ac:dyDescent="0.3">
      <c r="E57" t="s">
        <v>318</v>
      </c>
      <c r="F57" t="s">
        <v>416</v>
      </c>
      <c r="G57">
        <v>55</v>
      </c>
    </row>
    <row r="58" spans="5:7" x14ac:dyDescent="0.3">
      <c r="E58" t="s">
        <v>317</v>
      </c>
      <c r="F58" t="s">
        <v>416</v>
      </c>
      <c r="G58">
        <v>45</v>
      </c>
    </row>
    <row r="59" spans="5:7" x14ac:dyDescent="0.3">
      <c r="E59" t="s">
        <v>117</v>
      </c>
      <c r="F59" t="s">
        <v>413</v>
      </c>
      <c r="G59">
        <v>33</v>
      </c>
    </row>
    <row r="60" spans="5:7" x14ac:dyDescent="0.3">
      <c r="E60" t="s">
        <v>175</v>
      </c>
      <c r="F60" t="s">
        <v>414</v>
      </c>
      <c r="G60">
        <v>30</v>
      </c>
    </row>
    <row r="61" spans="5:7" x14ac:dyDescent="0.3">
      <c r="E61" t="s">
        <v>177</v>
      </c>
      <c r="F61" t="s">
        <v>414</v>
      </c>
      <c r="G61">
        <v>59</v>
      </c>
    </row>
    <row r="62" spans="5:7" x14ac:dyDescent="0.3">
      <c r="E62" t="s">
        <v>171</v>
      </c>
      <c r="F62" t="s">
        <v>414</v>
      </c>
      <c r="G62">
        <v>12</v>
      </c>
    </row>
    <row r="63" spans="5:7" x14ac:dyDescent="0.3">
      <c r="E63" t="s">
        <v>173</v>
      </c>
      <c r="F63" t="s">
        <v>414</v>
      </c>
      <c r="G63">
        <v>18</v>
      </c>
    </row>
    <row r="64" spans="5:7" x14ac:dyDescent="0.3">
      <c r="E64" t="s">
        <v>195</v>
      </c>
      <c r="F64" t="s">
        <v>417</v>
      </c>
      <c r="G64">
        <v>37</v>
      </c>
    </row>
    <row r="65" spans="5:7" x14ac:dyDescent="0.3">
      <c r="E65" t="s">
        <v>197</v>
      </c>
      <c r="F65" t="s">
        <v>417</v>
      </c>
      <c r="G65">
        <v>30</v>
      </c>
    </row>
    <row r="66" spans="5:7" x14ac:dyDescent="0.3">
      <c r="E66" t="s">
        <v>222</v>
      </c>
      <c r="F66" t="s">
        <v>219</v>
      </c>
      <c r="G66">
        <v>21</v>
      </c>
    </row>
    <row r="67" spans="5:7" x14ac:dyDescent="0.3">
      <c r="E67" t="s">
        <v>382</v>
      </c>
      <c r="F67" t="s">
        <v>415</v>
      </c>
      <c r="G67">
        <v>91</v>
      </c>
    </row>
    <row r="68" spans="5:7" x14ac:dyDescent="0.3">
      <c r="E68" t="s">
        <v>98</v>
      </c>
      <c r="F68" t="s">
        <v>24</v>
      </c>
      <c r="G68">
        <v>66</v>
      </c>
    </row>
    <row r="69" spans="5:7" x14ac:dyDescent="0.3">
      <c r="E69" t="s">
        <v>239</v>
      </c>
      <c r="F69" t="s">
        <v>232</v>
      </c>
      <c r="G69">
        <v>28</v>
      </c>
    </row>
    <row r="70" spans="5:7" x14ac:dyDescent="0.3">
      <c r="E70" t="s">
        <v>237</v>
      </c>
      <c r="F70" t="s">
        <v>232</v>
      </c>
      <c r="G70">
        <v>76</v>
      </c>
    </row>
    <row r="71" spans="5:7" x14ac:dyDescent="0.3">
      <c r="E71" t="s">
        <v>235</v>
      </c>
      <c r="F71" t="s">
        <v>232</v>
      </c>
      <c r="G71">
        <v>55</v>
      </c>
    </row>
    <row r="72" spans="5:7" x14ac:dyDescent="0.3">
      <c r="E72" t="s">
        <v>233</v>
      </c>
      <c r="F72" t="s">
        <v>232</v>
      </c>
      <c r="G72">
        <v>39</v>
      </c>
    </row>
    <row r="73" spans="5:7" x14ac:dyDescent="0.3">
      <c r="E73" t="s">
        <v>279</v>
      </c>
      <c r="F73" t="s">
        <v>416</v>
      </c>
      <c r="G73">
        <v>0</v>
      </c>
    </row>
    <row r="74" spans="5:7" x14ac:dyDescent="0.3">
      <c r="E74" t="s">
        <v>278</v>
      </c>
      <c r="F74" t="s">
        <v>416</v>
      </c>
      <c r="G74">
        <v>0</v>
      </c>
    </row>
    <row r="75" spans="5:7" x14ac:dyDescent="0.3">
      <c r="E75" t="s">
        <v>277</v>
      </c>
      <c r="F75" t="s">
        <v>416</v>
      </c>
      <c r="G75">
        <v>0</v>
      </c>
    </row>
    <row r="76" spans="5:7" x14ac:dyDescent="0.3">
      <c r="E76" t="s">
        <v>125</v>
      </c>
      <c r="F76" t="s">
        <v>413</v>
      </c>
      <c r="G76">
        <v>34</v>
      </c>
    </row>
    <row r="77" spans="5:7" x14ac:dyDescent="0.3">
      <c r="E77" t="s">
        <v>266</v>
      </c>
      <c r="F77" t="s">
        <v>232</v>
      </c>
      <c r="G77">
        <v>0</v>
      </c>
    </row>
    <row r="78" spans="5:7" x14ac:dyDescent="0.3">
      <c r="E78" t="s">
        <v>244</v>
      </c>
      <c r="F78" t="s">
        <v>232</v>
      </c>
      <c r="G78">
        <v>0</v>
      </c>
    </row>
    <row r="79" spans="5:7" x14ac:dyDescent="0.3">
      <c r="E79" t="s">
        <v>243</v>
      </c>
      <c r="F79" t="s">
        <v>232</v>
      </c>
      <c r="G79">
        <v>0</v>
      </c>
    </row>
    <row r="80" spans="5:7" x14ac:dyDescent="0.3">
      <c r="E80" t="s">
        <v>242</v>
      </c>
      <c r="F80" t="s">
        <v>232</v>
      </c>
      <c r="G80">
        <v>0</v>
      </c>
    </row>
    <row r="81" spans="5:7" x14ac:dyDescent="0.3">
      <c r="E81" t="s">
        <v>241</v>
      </c>
      <c r="F81" t="s">
        <v>232</v>
      </c>
      <c r="G81">
        <v>0</v>
      </c>
    </row>
    <row r="82" spans="5:7" x14ac:dyDescent="0.3">
      <c r="E82" t="s">
        <v>252</v>
      </c>
      <c r="F82" t="s">
        <v>232</v>
      </c>
      <c r="G82">
        <v>0</v>
      </c>
    </row>
    <row r="83" spans="5:7" x14ac:dyDescent="0.3">
      <c r="E83" t="s">
        <v>251</v>
      </c>
      <c r="F83" t="s">
        <v>232</v>
      </c>
      <c r="G83">
        <v>0</v>
      </c>
    </row>
    <row r="84" spans="5:7" x14ac:dyDescent="0.3">
      <c r="E84" t="s">
        <v>250</v>
      </c>
      <c r="F84" t="s">
        <v>232</v>
      </c>
      <c r="G84">
        <v>0</v>
      </c>
    </row>
    <row r="85" spans="5:7" x14ac:dyDescent="0.3">
      <c r="E85" t="s">
        <v>249</v>
      </c>
      <c r="F85" t="s">
        <v>232</v>
      </c>
      <c r="G85">
        <v>0</v>
      </c>
    </row>
    <row r="86" spans="5:7" x14ac:dyDescent="0.3">
      <c r="E86" t="s">
        <v>119</v>
      </c>
      <c r="F86" t="s">
        <v>413</v>
      </c>
      <c r="G86">
        <v>35</v>
      </c>
    </row>
    <row r="87" spans="5:7" x14ac:dyDescent="0.3">
      <c r="E87" t="s">
        <v>114</v>
      </c>
      <c r="F87" t="s">
        <v>413</v>
      </c>
      <c r="G87">
        <v>42</v>
      </c>
    </row>
    <row r="88" spans="5:7" x14ac:dyDescent="0.3">
      <c r="E88" t="s">
        <v>248</v>
      </c>
      <c r="F88" t="s">
        <v>232</v>
      </c>
      <c r="G88">
        <v>27</v>
      </c>
    </row>
    <row r="89" spans="5:7" x14ac:dyDescent="0.3">
      <c r="E89" t="s">
        <v>247</v>
      </c>
      <c r="F89" t="s">
        <v>232</v>
      </c>
      <c r="G89">
        <v>72</v>
      </c>
    </row>
    <row r="90" spans="5:7" x14ac:dyDescent="0.3">
      <c r="E90" t="s">
        <v>246</v>
      </c>
      <c r="F90" t="s">
        <v>232</v>
      </c>
      <c r="G90">
        <v>53</v>
      </c>
    </row>
    <row r="91" spans="5:7" x14ac:dyDescent="0.3">
      <c r="E91" t="s">
        <v>245</v>
      </c>
      <c r="F91" t="s">
        <v>232</v>
      </c>
      <c r="G91">
        <v>37</v>
      </c>
    </row>
    <row r="92" spans="5:7" x14ac:dyDescent="0.3">
      <c r="E92" t="s">
        <v>25</v>
      </c>
      <c r="F92" t="s">
        <v>24</v>
      </c>
      <c r="G92">
        <v>31</v>
      </c>
    </row>
    <row r="93" spans="5:7" x14ac:dyDescent="0.3">
      <c r="E93" t="s">
        <v>27</v>
      </c>
      <c r="F93" t="s">
        <v>24</v>
      </c>
      <c r="G93">
        <v>30</v>
      </c>
    </row>
    <row r="94" spans="5:7" x14ac:dyDescent="0.3">
      <c r="E94" t="s">
        <v>259</v>
      </c>
      <c r="F94" t="s">
        <v>232</v>
      </c>
      <c r="G94">
        <v>23</v>
      </c>
    </row>
    <row r="95" spans="5:7" x14ac:dyDescent="0.3">
      <c r="E95" t="s">
        <v>181</v>
      </c>
      <c r="F95" t="s">
        <v>414</v>
      </c>
      <c r="G95">
        <v>39</v>
      </c>
    </row>
    <row r="96" spans="5:7" x14ac:dyDescent="0.3">
      <c r="E96" t="s">
        <v>361</v>
      </c>
      <c r="F96" t="s">
        <v>416</v>
      </c>
      <c r="G96">
        <v>79</v>
      </c>
    </row>
    <row r="97" spans="5:7" x14ac:dyDescent="0.3">
      <c r="E97" t="s">
        <v>360</v>
      </c>
      <c r="F97" t="s">
        <v>416</v>
      </c>
      <c r="G97">
        <v>64</v>
      </c>
    </row>
    <row r="98" spans="5:7" x14ac:dyDescent="0.3">
      <c r="E98" t="s">
        <v>364</v>
      </c>
      <c r="F98" t="s">
        <v>416</v>
      </c>
      <c r="G98">
        <v>91</v>
      </c>
    </row>
    <row r="99" spans="5:7" x14ac:dyDescent="0.3">
      <c r="E99" t="s">
        <v>363</v>
      </c>
      <c r="F99" t="s">
        <v>416</v>
      </c>
      <c r="G99">
        <v>76</v>
      </c>
    </row>
    <row r="100" spans="5:7" x14ac:dyDescent="0.3">
      <c r="E100" t="s">
        <v>358</v>
      </c>
      <c r="F100" t="s">
        <v>416</v>
      </c>
      <c r="G100">
        <v>80</v>
      </c>
    </row>
    <row r="101" spans="5:7" x14ac:dyDescent="0.3">
      <c r="E101" t="s">
        <v>357</v>
      </c>
      <c r="F101" t="s">
        <v>416</v>
      </c>
      <c r="G101">
        <v>65</v>
      </c>
    </row>
    <row r="102" spans="5:7" x14ac:dyDescent="0.3">
      <c r="E102" t="s">
        <v>341</v>
      </c>
      <c r="F102" t="s">
        <v>416</v>
      </c>
      <c r="G102">
        <v>41</v>
      </c>
    </row>
    <row r="103" spans="5:7" x14ac:dyDescent="0.3">
      <c r="E103" t="s">
        <v>340</v>
      </c>
      <c r="F103" t="s">
        <v>416</v>
      </c>
      <c r="G103">
        <v>27</v>
      </c>
    </row>
    <row r="104" spans="5:7" x14ac:dyDescent="0.3">
      <c r="E104" t="s">
        <v>339</v>
      </c>
      <c r="F104" t="s">
        <v>416</v>
      </c>
      <c r="G104">
        <v>20</v>
      </c>
    </row>
    <row r="105" spans="5:7" x14ac:dyDescent="0.3">
      <c r="E105" t="s">
        <v>292</v>
      </c>
      <c r="F105" t="s">
        <v>416</v>
      </c>
      <c r="G105">
        <v>60</v>
      </c>
    </row>
    <row r="106" spans="5:7" x14ac:dyDescent="0.3">
      <c r="E106" t="s">
        <v>291</v>
      </c>
      <c r="F106" t="s">
        <v>416</v>
      </c>
      <c r="G106">
        <v>48</v>
      </c>
    </row>
    <row r="107" spans="5:7" x14ac:dyDescent="0.3">
      <c r="E107" t="s">
        <v>290</v>
      </c>
      <c r="F107" t="s">
        <v>416</v>
      </c>
      <c r="G107">
        <v>38</v>
      </c>
    </row>
    <row r="108" spans="5:7" x14ac:dyDescent="0.3">
      <c r="E108" t="s">
        <v>100</v>
      </c>
      <c r="F108" t="s">
        <v>24</v>
      </c>
      <c r="G108">
        <v>58</v>
      </c>
    </row>
    <row r="109" spans="5:7" x14ac:dyDescent="0.3">
      <c r="E109" t="s">
        <v>102</v>
      </c>
      <c r="F109" t="s">
        <v>24</v>
      </c>
      <c r="G109">
        <v>49</v>
      </c>
    </row>
    <row r="110" spans="5:7" x14ac:dyDescent="0.3">
      <c r="E110" t="s">
        <v>217</v>
      </c>
      <c r="F110" t="s">
        <v>417</v>
      </c>
      <c r="G110">
        <v>30</v>
      </c>
    </row>
    <row r="111" spans="5:7" x14ac:dyDescent="0.3">
      <c r="E111" t="s">
        <v>115</v>
      </c>
      <c r="F111" t="s">
        <v>413</v>
      </c>
      <c r="G111">
        <v>32</v>
      </c>
    </row>
    <row r="112" spans="5:7" x14ac:dyDescent="0.3">
      <c r="E112" t="s">
        <v>96</v>
      </c>
      <c r="F112" t="s">
        <v>24</v>
      </c>
      <c r="G112">
        <v>15</v>
      </c>
    </row>
    <row r="113" spans="5:7" x14ac:dyDescent="0.3">
      <c r="E113" t="s">
        <v>338</v>
      </c>
      <c r="F113" t="s">
        <v>416</v>
      </c>
      <c r="G113">
        <v>43</v>
      </c>
    </row>
    <row r="114" spans="5:7" x14ac:dyDescent="0.3">
      <c r="E114" t="s">
        <v>337</v>
      </c>
      <c r="F114" t="s">
        <v>416</v>
      </c>
      <c r="G114">
        <v>29</v>
      </c>
    </row>
    <row r="115" spans="5:7" x14ac:dyDescent="0.3">
      <c r="E115" t="s">
        <v>336</v>
      </c>
      <c r="F115" t="s">
        <v>416</v>
      </c>
      <c r="G115">
        <v>21</v>
      </c>
    </row>
    <row r="116" spans="5:7" x14ac:dyDescent="0.3">
      <c r="E116" t="s">
        <v>289</v>
      </c>
      <c r="F116" t="s">
        <v>416</v>
      </c>
      <c r="G116">
        <v>62</v>
      </c>
    </row>
    <row r="117" spans="5:7" x14ac:dyDescent="0.3">
      <c r="E117" t="s">
        <v>288</v>
      </c>
      <c r="F117" t="s">
        <v>416</v>
      </c>
      <c r="G117">
        <v>50</v>
      </c>
    </row>
    <row r="118" spans="5:7" x14ac:dyDescent="0.3">
      <c r="E118" t="s">
        <v>287</v>
      </c>
      <c r="F118" t="s">
        <v>416</v>
      </c>
      <c r="G118">
        <v>40</v>
      </c>
    </row>
    <row r="119" spans="5:7" x14ac:dyDescent="0.3">
      <c r="E119" t="s">
        <v>199</v>
      </c>
      <c r="F119" t="s">
        <v>417</v>
      </c>
      <c r="G119">
        <v>34</v>
      </c>
    </row>
    <row r="120" spans="5:7" x14ac:dyDescent="0.3">
      <c r="E120" t="s">
        <v>200</v>
      </c>
      <c r="F120" t="s">
        <v>417</v>
      </c>
      <c r="G120">
        <v>27</v>
      </c>
    </row>
    <row r="121" spans="5:7" x14ac:dyDescent="0.3">
      <c r="E121" t="s">
        <v>229</v>
      </c>
      <c r="F121" t="s">
        <v>219</v>
      </c>
      <c r="G121">
        <v>60</v>
      </c>
    </row>
    <row r="122" spans="5:7" x14ac:dyDescent="0.3">
      <c r="E122" t="s">
        <v>325</v>
      </c>
      <c r="F122" t="s">
        <v>416</v>
      </c>
      <c r="G122">
        <v>73</v>
      </c>
    </row>
    <row r="123" spans="5:7" x14ac:dyDescent="0.3">
      <c r="E123" t="s">
        <v>324</v>
      </c>
      <c r="F123" t="s">
        <v>416</v>
      </c>
      <c r="G123">
        <v>61</v>
      </c>
    </row>
    <row r="124" spans="5:7" x14ac:dyDescent="0.3">
      <c r="E124" t="s">
        <v>323</v>
      </c>
      <c r="F124" t="s">
        <v>416</v>
      </c>
      <c r="G124">
        <v>50</v>
      </c>
    </row>
    <row r="125" spans="5:7" x14ac:dyDescent="0.3">
      <c r="E125" t="s">
        <v>328</v>
      </c>
      <c r="F125" t="s">
        <v>416</v>
      </c>
      <c r="G125">
        <v>74</v>
      </c>
    </row>
    <row r="126" spans="5:7" x14ac:dyDescent="0.3">
      <c r="E126" t="s">
        <v>327</v>
      </c>
      <c r="F126" t="s">
        <v>416</v>
      </c>
      <c r="G126">
        <v>61</v>
      </c>
    </row>
    <row r="127" spans="5:7" x14ac:dyDescent="0.3">
      <c r="E127" t="s">
        <v>326</v>
      </c>
      <c r="F127" t="s">
        <v>416</v>
      </c>
      <c r="G127">
        <v>50</v>
      </c>
    </row>
    <row r="128" spans="5:7" x14ac:dyDescent="0.3">
      <c r="E128" t="s">
        <v>227</v>
      </c>
      <c r="F128" t="s">
        <v>219</v>
      </c>
      <c r="G128">
        <v>53</v>
      </c>
    </row>
    <row r="129" spans="5:7" x14ac:dyDescent="0.3">
      <c r="E129" t="s">
        <v>91</v>
      </c>
      <c r="F129" t="s">
        <v>24</v>
      </c>
      <c r="G129">
        <v>60</v>
      </c>
    </row>
    <row r="130" spans="5:7" x14ac:dyDescent="0.3">
      <c r="E130" t="s">
        <v>93</v>
      </c>
      <c r="F130" t="s">
        <v>24</v>
      </c>
      <c r="G130">
        <v>61</v>
      </c>
    </row>
    <row r="131" spans="5:7" x14ac:dyDescent="0.3">
      <c r="E131" t="s">
        <v>353</v>
      </c>
      <c r="F131" t="s">
        <v>416</v>
      </c>
      <c r="G131">
        <v>65</v>
      </c>
    </row>
    <row r="132" spans="5:7" x14ac:dyDescent="0.3">
      <c r="E132" t="s">
        <v>352</v>
      </c>
      <c r="F132" t="s">
        <v>416</v>
      </c>
      <c r="G132">
        <v>46</v>
      </c>
    </row>
    <row r="133" spans="5:7" x14ac:dyDescent="0.3">
      <c r="E133" t="s">
        <v>351</v>
      </c>
      <c r="F133" t="s">
        <v>416</v>
      </c>
      <c r="G133">
        <v>38</v>
      </c>
    </row>
    <row r="134" spans="5:7" x14ac:dyDescent="0.3">
      <c r="E134" t="s">
        <v>344</v>
      </c>
      <c r="F134" t="s">
        <v>416</v>
      </c>
      <c r="G134">
        <v>18</v>
      </c>
    </row>
    <row r="135" spans="5:7" x14ac:dyDescent="0.3">
      <c r="E135" t="s">
        <v>343</v>
      </c>
      <c r="F135" t="s">
        <v>416</v>
      </c>
      <c r="G135">
        <v>12</v>
      </c>
    </row>
    <row r="136" spans="5:7" x14ac:dyDescent="0.3">
      <c r="E136" t="s">
        <v>342</v>
      </c>
      <c r="F136" t="s">
        <v>416</v>
      </c>
      <c r="G136">
        <v>9</v>
      </c>
    </row>
    <row r="137" spans="5:7" x14ac:dyDescent="0.3">
      <c r="E137" t="s">
        <v>347</v>
      </c>
      <c r="F137" t="s">
        <v>416</v>
      </c>
      <c r="G137">
        <v>70</v>
      </c>
    </row>
    <row r="138" spans="5:7" x14ac:dyDescent="0.3">
      <c r="E138" t="s">
        <v>346</v>
      </c>
      <c r="F138" t="s">
        <v>416</v>
      </c>
      <c r="G138">
        <v>50</v>
      </c>
    </row>
    <row r="139" spans="5:7" x14ac:dyDescent="0.3">
      <c r="E139" t="s">
        <v>345</v>
      </c>
      <c r="F139" t="s">
        <v>416</v>
      </c>
      <c r="G139">
        <v>41</v>
      </c>
    </row>
    <row r="140" spans="5:7" x14ac:dyDescent="0.3">
      <c r="E140" t="s">
        <v>350</v>
      </c>
      <c r="F140" t="s">
        <v>416</v>
      </c>
      <c r="G140">
        <v>71</v>
      </c>
    </row>
    <row r="141" spans="5:7" x14ac:dyDescent="0.3">
      <c r="E141" t="s">
        <v>349</v>
      </c>
      <c r="F141" t="s">
        <v>416</v>
      </c>
      <c r="G141">
        <v>50</v>
      </c>
    </row>
    <row r="142" spans="5:7" x14ac:dyDescent="0.3">
      <c r="E142" t="s">
        <v>348</v>
      </c>
      <c r="F142" t="s">
        <v>416</v>
      </c>
      <c r="G142">
        <v>41</v>
      </c>
    </row>
    <row r="143" spans="5:7" x14ac:dyDescent="0.3">
      <c r="E143" t="s">
        <v>356</v>
      </c>
      <c r="F143" t="s">
        <v>416</v>
      </c>
      <c r="G143">
        <v>65</v>
      </c>
    </row>
    <row r="144" spans="5:7" x14ac:dyDescent="0.3">
      <c r="E144" t="s">
        <v>355</v>
      </c>
      <c r="F144" t="s">
        <v>416</v>
      </c>
      <c r="G144">
        <v>47</v>
      </c>
    </row>
    <row r="145" spans="5:7" x14ac:dyDescent="0.3">
      <c r="E145" t="s">
        <v>354</v>
      </c>
      <c r="F145" t="s">
        <v>416</v>
      </c>
      <c r="G145">
        <v>38</v>
      </c>
    </row>
    <row r="146" spans="5:7" x14ac:dyDescent="0.3">
      <c r="E146" t="s">
        <v>272</v>
      </c>
      <c r="F146" t="s">
        <v>416</v>
      </c>
      <c r="G146">
        <v>0</v>
      </c>
    </row>
    <row r="147" spans="5:7" x14ac:dyDescent="0.3">
      <c r="E147" t="s">
        <v>271</v>
      </c>
      <c r="F147" t="s">
        <v>416</v>
      </c>
      <c r="G147">
        <v>0</v>
      </c>
    </row>
    <row r="148" spans="5:7" x14ac:dyDescent="0.3">
      <c r="E148" t="s">
        <v>270</v>
      </c>
      <c r="F148" t="s">
        <v>416</v>
      </c>
      <c r="G148">
        <v>0</v>
      </c>
    </row>
    <row r="149" spans="5:7" x14ac:dyDescent="0.3">
      <c r="E149" t="s">
        <v>269</v>
      </c>
      <c r="F149" t="s">
        <v>416</v>
      </c>
      <c r="G149">
        <v>0</v>
      </c>
    </row>
    <row r="150" spans="5:7" x14ac:dyDescent="0.3">
      <c r="E150" t="s">
        <v>127</v>
      </c>
      <c r="F150" t="s">
        <v>413</v>
      </c>
      <c r="G150">
        <v>35</v>
      </c>
    </row>
    <row r="151" spans="5:7" x14ac:dyDescent="0.3">
      <c r="E151" t="s">
        <v>211</v>
      </c>
      <c r="F151" t="s">
        <v>417</v>
      </c>
      <c r="G151">
        <v>15</v>
      </c>
    </row>
    <row r="152" spans="5:7" x14ac:dyDescent="0.3">
      <c r="E152" t="s">
        <v>225</v>
      </c>
      <c r="F152" t="s">
        <v>219</v>
      </c>
      <c r="G152">
        <v>7</v>
      </c>
    </row>
    <row r="153" spans="5:7" x14ac:dyDescent="0.3">
      <c r="E153" t="s">
        <v>209</v>
      </c>
      <c r="F153" t="s">
        <v>417</v>
      </c>
      <c r="G153">
        <v>67</v>
      </c>
    </row>
    <row r="154" spans="5:7" x14ac:dyDescent="0.3">
      <c r="E154" t="s">
        <v>282</v>
      </c>
      <c r="F154" t="s">
        <v>416</v>
      </c>
      <c r="G154">
        <v>24</v>
      </c>
    </row>
    <row r="155" spans="5:7" x14ac:dyDescent="0.3">
      <c r="E155" t="s">
        <v>281</v>
      </c>
      <c r="F155" t="s">
        <v>416</v>
      </c>
      <c r="G155">
        <v>18</v>
      </c>
    </row>
    <row r="156" spans="5:7" x14ac:dyDescent="0.3">
      <c r="E156" t="s">
        <v>280</v>
      </c>
      <c r="F156" t="s">
        <v>416</v>
      </c>
      <c r="G156">
        <v>15</v>
      </c>
    </row>
    <row r="157" spans="5:7" x14ac:dyDescent="0.3">
      <c r="E157" t="s">
        <v>295</v>
      </c>
      <c r="F157" t="s">
        <v>416</v>
      </c>
      <c r="G157">
        <v>37</v>
      </c>
    </row>
    <row r="158" spans="5:7" x14ac:dyDescent="0.3">
      <c r="E158" t="s">
        <v>294</v>
      </c>
      <c r="F158" t="s">
        <v>416</v>
      </c>
      <c r="G158">
        <v>29</v>
      </c>
    </row>
    <row r="159" spans="5:7" x14ac:dyDescent="0.3">
      <c r="E159" t="s">
        <v>293</v>
      </c>
      <c r="F159" t="s">
        <v>416</v>
      </c>
      <c r="G159">
        <v>24</v>
      </c>
    </row>
    <row r="160" spans="5:7" x14ac:dyDescent="0.3">
      <c r="E160" t="s">
        <v>375</v>
      </c>
      <c r="F160" t="s">
        <v>415</v>
      </c>
      <c r="G160">
        <v>78</v>
      </c>
    </row>
    <row r="161" spans="5:7" x14ac:dyDescent="0.3">
      <c r="E161" t="s">
        <v>374</v>
      </c>
      <c r="F161" t="s">
        <v>415</v>
      </c>
      <c r="G161">
        <v>61</v>
      </c>
    </row>
    <row r="162" spans="5:7" x14ac:dyDescent="0.3">
      <c r="E162" t="s">
        <v>373</v>
      </c>
      <c r="F162" t="s">
        <v>415</v>
      </c>
      <c r="G162">
        <v>50</v>
      </c>
    </row>
    <row r="163" spans="5:7" x14ac:dyDescent="0.3">
      <c r="E163" t="s">
        <v>148</v>
      </c>
      <c r="F163" t="s">
        <v>414</v>
      </c>
      <c r="G163">
        <v>40</v>
      </c>
    </row>
    <row r="164" spans="5:7" x14ac:dyDescent="0.3">
      <c r="E164" t="s">
        <v>122</v>
      </c>
      <c r="F164" t="s">
        <v>413</v>
      </c>
      <c r="G164">
        <v>34</v>
      </c>
    </row>
    <row r="165" spans="5:7" x14ac:dyDescent="0.3">
      <c r="E165" t="s">
        <v>390</v>
      </c>
      <c r="F165" t="s">
        <v>415</v>
      </c>
      <c r="G165">
        <v>64</v>
      </c>
    </row>
    <row r="166" spans="5:7" x14ac:dyDescent="0.3">
      <c r="E166" t="s">
        <v>392</v>
      </c>
      <c r="F166" t="s">
        <v>415</v>
      </c>
      <c r="G166">
        <v>80</v>
      </c>
    </row>
    <row r="167" spans="5:7" x14ac:dyDescent="0.3">
      <c r="E167" t="s">
        <v>396</v>
      </c>
      <c r="F167" t="s">
        <v>415</v>
      </c>
      <c r="G167">
        <v>53</v>
      </c>
    </row>
    <row r="168" spans="5:7" x14ac:dyDescent="0.3">
      <c r="E168" t="s">
        <v>399</v>
      </c>
      <c r="F168" t="s">
        <v>415</v>
      </c>
      <c r="G168">
        <v>57</v>
      </c>
    </row>
    <row r="169" spans="5:7" x14ac:dyDescent="0.3">
      <c r="E169" t="s">
        <v>129</v>
      </c>
      <c r="F169" t="s">
        <v>413</v>
      </c>
      <c r="G169">
        <v>44</v>
      </c>
    </row>
    <row r="170" spans="5:7" x14ac:dyDescent="0.3">
      <c r="E170" t="s">
        <v>208</v>
      </c>
      <c r="F170" t="s">
        <v>417</v>
      </c>
      <c r="G170">
        <v>44</v>
      </c>
    </row>
    <row r="171" spans="5:7" x14ac:dyDescent="0.3">
      <c r="E171" t="s">
        <v>260</v>
      </c>
      <c r="F171" t="s">
        <v>232</v>
      </c>
      <c r="G171">
        <v>21</v>
      </c>
    </row>
    <row r="172" spans="5:7" x14ac:dyDescent="0.3">
      <c r="E172" t="s">
        <v>264</v>
      </c>
      <c r="F172" t="s">
        <v>232</v>
      </c>
      <c r="G172">
        <v>65</v>
      </c>
    </row>
    <row r="173" spans="5:7" x14ac:dyDescent="0.3">
      <c r="E173" t="s">
        <v>263</v>
      </c>
      <c r="F173" t="s">
        <v>232</v>
      </c>
      <c r="G173">
        <v>44</v>
      </c>
    </row>
    <row r="174" spans="5:7" x14ac:dyDescent="0.3">
      <c r="E174" t="s">
        <v>262</v>
      </c>
      <c r="F174" t="s">
        <v>232</v>
      </c>
      <c r="G174">
        <v>34</v>
      </c>
    </row>
    <row r="175" spans="5:7" x14ac:dyDescent="0.3">
      <c r="E175" t="s">
        <v>313</v>
      </c>
      <c r="F175" t="s">
        <v>416</v>
      </c>
      <c r="G175">
        <v>72</v>
      </c>
    </row>
    <row r="176" spans="5:7" x14ac:dyDescent="0.3">
      <c r="E176" t="s">
        <v>312</v>
      </c>
      <c r="F176" t="s">
        <v>416</v>
      </c>
      <c r="G176">
        <v>60</v>
      </c>
    </row>
    <row r="177" spans="5:7" x14ac:dyDescent="0.3">
      <c r="E177" t="s">
        <v>311</v>
      </c>
      <c r="F177" t="s">
        <v>416</v>
      </c>
      <c r="G177">
        <v>49</v>
      </c>
    </row>
    <row r="178" spans="5:7" x14ac:dyDescent="0.3">
      <c r="E178" t="s">
        <v>316</v>
      </c>
      <c r="F178" t="s">
        <v>416</v>
      </c>
      <c r="G178">
        <v>73</v>
      </c>
    </row>
    <row r="179" spans="5:7" x14ac:dyDescent="0.3">
      <c r="E179" t="s">
        <v>315</v>
      </c>
      <c r="F179" t="s">
        <v>416</v>
      </c>
      <c r="G179">
        <v>60</v>
      </c>
    </row>
    <row r="180" spans="5:7" x14ac:dyDescent="0.3">
      <c r="E180" t="s">
        <v>314</v>
      </c>
      <c r="F180" t="s">
        <v>416</v>
      </c>
      <c r="G180">
        <v>49</v>
      </c>
    </row>
    <row r="181" spans="5:7" x14ac:dyDescent="0.3">
      <c r="E181" t="s">
        <v>301</v>
      </c>
      <c r="F181" t="s">
        <v>416</v>
      </c>
      <c r="G181">
        <v>63</v>
      </c>
    </row>
    <row r="182" spans="5:7" x14ac:dyDescent="0.3">
      <c r="E182" t="s">
        <v>300</v>
      </c>
      <c r="F182" t="s">
        <v>416</v>
      </c>
      <c r="G182">
        <v>51</v>
      </c>
    </row>
    <row r="183" spans="5:7" x14ac:dyDescent="0.3">
      <c r="E183" t="s">
        <v>299</v>
      </c>
      <c r="F183" t="s">
        <v>416</v>
      </c>
      <c r="G183">
        <v>41</v>
      </c>
    </row>
    <row r="184" spans="5:7" x14ac:dyDescent="0.3">
      <c r="E184" t="s">
        <v>322</v>
      </c>
      <c r="F184" t="s">
        <v>416</v>
      </c>
      <c r="G184">
        <v>67</v>
      </c>
    </row>
    <row r="185" spans="5:7" x14ac:dyDescent="0.3">
      <c r="E185" t="s">
        <v>321</v>
      </c>
      <c r="F185" t="s">
        <v>416</v>
      </c>
      <c r="G185">
        <v>56</v>
      </c>
    </row>
    <row r="186" spans="5:7" x14ac:dyDescent="0.3">
      <c r="E186" t="s">
        <v>320</v>
      </c>
      <c r="F186" t="s">
        <v>416</v>
      </c>
      <c r="G186">
        <v>45</v>
      </c>
    </row>
    <row r="187" spans="5:7" x14ac:dyDescent="0.3">
      <c r="E187" t="s">
        <v>307</v>
      </c>
      <c r="F187" t="s">
        <v>416</v>
      </c>
      <c r="G187">
        <v>60</v>
      </c>
    </row>
    <row r="188" spans="5:7" x14ac:dyDescent="0.3">
      <c r="E188" t="s">
        <v>306</v>
      </c>
      <c r="F188" t="s">
        <v>416</v>
      </c>
      <c r="G188">
        <v>49</v>
      </c>
    </row>
    <row r="189" spans="5:7" x14ac:dyDescent="0.3">
      <c r="E189" t="s">
        <v>305</v>
      </c>
      <c r="F189" t="s">
        <v>416</v>
      </c>
      <c r="G189">
        <v>39</v>
      </c>
    </row>
    <row r="190" spans="5:7" x14ac:dyDescent="0.3">
      <c r="E190" t="s">
        <v>304</v>
      </c>
      <c r="F190" t="s">
        <v>416</v>
      </c>
      <c r="G190">
        <v>63</v>
      </c>
    </row>
    <row r="191" spans="5:7" x14ac:dyDescent="0.3">
      <c r="E191" t="s">
        <v>303</v>
      </c>
      <c r="F191" t="s">
        <v>416</v>
      </c>
      <c r="G191">
        <v>51</v>
      </c>
    </row>
    <row r="192" spans="5:7" x14ac:dyDescent="0.3">
      <c r="E192" t="s">
        <v>302</v>
      </c>
      <c r="F192" t="s">
        <v>416</v>
      </c>
      <c r="G192">
        <v>40</v>
      </c>
    </row>
    <row r="193" spans="5:7" x14ac:dyDescent="0.3">
      <c r="E193" t="s">
        <v>298</v>
      </c>
      <c r="F193" t="s">
        <v>416</v>
      </c>
      <c r="G193">
        <v>25</v>
      </c>
    </row>
    <row r="194" spans="5:7" x14ac:dyDescent="0.3">
      <c r="E194" t="s">
        <v>297</v>
      </c>
      <c r="F194" t="s">
        <v>416</v>
      </c>
      <c r="G194">
        <v>19</v>
      </c>
    </row>
    <row r="195" spans="5:7" x14ac:dyDescent="0.3">
      <c r="E195" t="s">
        <v>296</v>
      </c>
      <c r="F195" t="s">
        <v>416</v>
      </c>
      <c r="G195">
        <v>15</v>
      </c>
    </row>
    <row r="196" spans="5:7" x14ac:dyDescent="0.3">
      <c r="E196" t="s">
        <v>310</v>
      </c>
      <c r="F196" t="s">
        <v>416</v>
      </c>
      <c r="G196">
        <v>38</v>
      </c>
    </row>
    <row r="197" spans="5:7" x14ac:dyDescent="0.3">
      <c r="E197" t="s">
        <v>309</v>
      </c>
      <c r="F197" t="s">
        <v>416</v>
      </c>
      <c r="G197">
        <v>30</v>
      </c>
    </row>
    <row r="198" spans="5:7" x14ac:dyDescent="0.3">
      <c r="E198" t="s">
        <v>308</v>
      </c>
      <c r="F198" t="s">
        <v>416</v>
      </c>
      <c r="G198">
        <v>24</v>
      </c>
    </row>
    <row r="199" spans="5:7" x14ac:dyDescent="0.3">
      <c r="E199" t="s">
        <v>224</v>
      </c>
      <c r="F199" t="s">
        <v>219</v>
      </c>
      <c r="G199">
        <v>22</v>
      </c>
    </row>
    <row r="200" spans="5:7" x14ac:dyDescent="0.3">
      <c r="E200" t="s">
        <v>184</v>
      </c>
      <c r="F200" t="s">
        <v>183</v>
      </c>
      <c r="G200">
        <v>10</v>
      </c>
    </row>
    <row r="201" spans="5:7" x14ac:dyDescent="0.3">
      <c r="E201" t="s">
        <v>186</v>
      </c>
      <c r="F201" t="s">
        <v>183</v>
      </c>
      <c r="G201">
        <v>22</v>
      </c>
    </row>
    <row r="202" spans="5:7" x14ac:dyDescent="0.3">
      <c r="E202" t="s">
        <v>188</v>
      </c>
      <c r="F202" t="s">
        <v>183</v>
      </c>
      <c r="G202">
        <v>8</v>
      </c>
    </row>
    <row r="203" spans="5:7" x14ac:dyDescent="0.3">
      <c r="E203" t="s">
        <v>132</v>
      </c>
      <c r="F203" t="s">
        <v>414</v>
      </c>
      <c r="G203">
        <v>55</v>
      </c>
    </row>
    <row r="204" spans="5:7" x14ac:dyDescent="0.3">
      <c r="E204" t="s">
        <v>136</v>
      </c>
      <c r="F204" t="s">
        <v>414</v>
      </c>
      <c r="G204">
        <v>58</v>
      </c>
    </row>
    <row r="205" spans="5:7" x14ac:dyDescent="0.3">
      <c r="E205" t="s">
        <v>139</v>
      </c>
      <c r="F205" t="s">
        <v>414</v>
      </c>
      <c r="G205">
        <v>57</v>
      </c>
    </row>
    <row r="206" spans="5:7" x14ac:dyDescent="0.3">
      <c r="E206" t="s">
        <v>134</v>
      </c>
      <c r="F206" t="s">
        <v>414</v>
      </c>
      <c r="G206">
        <v>42</v>
      </c>
    </row>
    <row r="207" spans="5:7" x14ac:dyDescent="0.3">
      <c r="E207" t="s">
        <v>138</v>
      </c>
      <c r="F207" t="s">
        <v>414</v>
      </c>
      <c r="G207">
        <v>44</v>
      </c>
    </row>
    <row r="208" spans="5:7" x14ac:dyDescent="0.3">
      <c r="E208" t="s">
        <v>141</v>
      </c>
      <c r="F208" t="s">
        <v>414</v>
      </c>
      <c r="G208">
        <v>43</v>
      </c>
    </row>
    <row r="209" spans="5:7" x14ac:dyDescent="0.3">
      <c r="E209" t="s">
        <v>155</v>
      </c>
      <c r="F209" t="s">
        <v>414</v>
      </c>
      <c r="G209">
        <v>56</v>
      </c>
    </row>
    <row r="210" spans="5:7" x14ac:dyDescent="0.3">
      <c r="E210" t="s">
        <v>157</v>
      </c>
      <c r="F210" t="s">
        <v>414</v>
      </c>
      <c r="G210">
        <v>42</v>
      </c>
    </row>
    <row r="211" spans="5:7" x14ac:dyDescent="0.3">
      <c r="E211" t="s">
        <v>159</v>
      </c>
      <c r="F211" t="s">
        <v>414</v>
      </c>
      <c r="G211">
        <v>56</v>
      </c>
    </row>
    <row r="212" spans="5:7" x14ac:dyDescent="0.3">
      <c r="E212" t="s">
        <v>161</v>
      </c>
      <c r="F212" t="s">
        <v>414</v>
      </c>
      <c r="G212">
        <v>42</v>
      </c>
    </row>
    <row r="213" spans="5:7" x14ac:dyDescent="0.3">
      <c r="E213" t="s">
        <v>167</v>
      </c>
      <c r="F213" t="s">
        <v>414</v>
      </c>
      <c r="G213">
        <v>61</v>
      </c>
    </row>
    <row r="214" spans="5:7" x14ac:dyDescent="0.3">
      <c r="E214" t="s">
        <v>169</v>
      </c>
      <c r="F214" t="s">
        <v>414</v>
      </c>
      <c r="G214">
        <v>47</v>
      </c>
    </row>
    <row r="215" spans="5:7" x14ac:dyDescent="0.3">
      <c r="E215" t="s">
        <v>163</v>
      </c>
      <c r="F215" t="s">
        <v>414</v>
      </c>
      <c r="G215">
        <v>68</v>
      </c>
    </row>
    <row r="216" spans="5:7" x14ac:dyDescent="0.3">
      <c r="E216" t="s">
        <v>165</v>
      </c>
      <c r="F216" t="s">
        <v>414</v>
      </c>
      <c r="G216">
        <v>55</v>
      </c>
    </row>
    <row r="217" spans="5:7" x14ac:dyDescent="0.3">
      <c r="E217" t="s">
        <v>189</v>
      </c>
      <c r="F217" t="s">
        <v>183</v>
      </c>
      <c r="G217">
        <v>20</v>
      </c>
    </row>
    <row r="218" spans="5:7" x14ac:dyDescent="0.3">
      <c r="E218" t="s">
        <v>190</v>
      </c>
      <c r="F218" t="s">
        <v>183</v>
      </c>
      <c r="G218">
        <v>42</v>
      </c>
    </row>
    <row r="219" spans="5:7" x14ac:dyDescent="0.3">
      <c r="E219" t="s">
        <v>192</v>
      </c>
      <c r="F219" t="s">
        <v>183</v>
      </c>
      <c r="G219">
        <v>28</v>
      </c>
    </row>
    <row r="220" spans="5:7" x14ac:dyDescent="0.3">
      <c r="E220" t="s">
        <v>112</v>
      </c>
      <c r="F220" t="s">
        <v>413</v>
      </c>
      <c r="G220">
        <v>45</v>
      </c>
    </row>
    <row r="221" spans="5:7" x14ac:dyDescent="0.3">
      <c r="E221" t="s">
        <v>108</v>
      </c>
      <c r="F221" t="s">
        <v>413</v>
      </c>
      <c r="G221">
        <v>48</v>
      </c>
    </row>
    <row r="222" spans="5:7" x14ac:dyDescent="0.3">
      <c r="E222" t="s">
        <v>110</v>
      </c>
      <c r="F222" t="s">
        <v>413</v>
      </c>
      <c r="G222">
        <v>46</v>
      </c>
    </row>
    <row r="223" spans="5:7" x14ac:dyDescent="0.3">
      <c r="E223" t="s">
        <v>106</v>
      </c>
      <c r="F223" t="s">
        <v>413</v>
      </c>
      <c r="G223">
        <v>41</v>
      </c>
    </row>
    <row r="224" spans="5:7" x14ac:dyDescent="0.3">
      <c r="E224" t="s">
        <v>202</v>
      </c>
      <c r="F224" t="s">
        <v>417</v>
      </c>
      <c r="G224">
        <v>32</v>
      </c>
    </row>
    <row r="225" spans="5:7" x14ac:dyDescent="0.3">
      <c r="E225" t="s">
        <v>204</v>
      </c>
      <c r="F225" t="s">
        <v>417</v>
      </c>
      <c r="G225">
        <v>25</v>
      </c>
    </row>
    <row r="226" spans="5:7" x14ac:dyDescent="0.3">
      <c r="E226" t="s">
        <v>331</v>
      </c>
      <c r="F226" t="s">
        <v>416</v>
      </c>
      <c r="G226">
        <v>47</v>
      </c>
    </row>
    <row r="227" spans="5:7" x14ac:dyDescent="0.3">
      <c r="E227" t="s">
        <v>330</v>
      </c>
      <c r="F227" t="s">
        <v>416</v>
      </c>
      <c r="G227">
        <v>31</v>
      </c>
    </row>
    <row r="228" spans="5:7" x14ac:dyDescent="0.3">
      <c r="E228" t="s">
        <v>329</v>
      </c>
      <c r="F228" t="s">
        <v>416</v>
      </c>
      <c r="G228">
        <v>23</v>
      </c>
    </row>
    <row r="229" spans="5:7" x14ac:dyDescent="0.3">
      <c r="E229" t="s">
        <v>46</v>
      </c>
      <c r="F229" t="s">
        <v>24</v>
      </c>
      <c r="G229">
        <v>39</v>
      </c>
    </row>
    <row r="230" spans="5:7" x14ac:dyDescent="0.3">
      <c r="E230" t="s">
        <v>44</v>
      </c>
      <c r="F230" t="s">
        <v>24</v>
      </c>
      <c r="G230">
        <v>34</v>
      </c>
    </row>
    <row r="231" spans="5:7" x14ac:dyDescent="0.3">
      <c r="E231" t="s">
        <v>50</v>
      </c>
      <c r="F231" t="s">
        <v>24</v>
      </c>
      <c r="G231">
        <v>42</v>
      </c>
    </row>
    <row r="232" spans="5:7" x14ac:dyDescent="0.3">
      <c r="E232" t="s">
        <v>48</v>
      </c>
      <c r="F232" t="s">
        <v>24</v>
      </c>
      <c r="G232">
        <v>36</v>
      </c>
    </row>
    <row r="233" spans="5:7" x14ac:dyDescent="0.3">
      <c r="E233" t="s">
        <v>53</v>
      </c>
      <c r="F233" t="s">
        <v>24</v>
      </c>
      <c r="G233">
        <v>40</v>
      </c>
    </row>
    <row r="234" spans="5:7" x14ac:dyDescent="0.3">
      <c r="E234" t="s">
        <v>52</v>
      </c>
      <c r="F234" t="s">
        <v>24</v>
      </c>
      <c r="G234">
        <v>34</v>
      </c>
    </row>
    <row r="235" spans="5:7" x14ac:dyDescent="0.3">
      <c r="E235" t="s">
        <v>95</v>
      </c>
      <c r="F235" t="s">
        <v>24</v>
      </c>
      <c r="G235">
        <v>26</v>
      </c>
    </row>
    <row r="236" spans="5:7" x14ac:dyDescent="0.3">
      <c r="E236" t="s">
        <v>65</v>
      </c>
      <c r="F236" t="s">
        <v>24</v>
      </c>
      <c r="G236">
        <v>44</v>
      </c>
    </row>
    <row r="237" spans="5:7" x14ac:dyDescent="0.3">
      <c r="E237" t="s">
        <v>29</v>
      </c>
      <c r="F237" t="s">
        <v>24</v>
      </c>
      <c r="G237">
        <v>29</v>
      </c>
    </row>
    <row r="238" spans="5:7" x14ac:dyDescent="0.3">
      <c r="E238" t="s">
        <v>31</v>
      </c>
      <c r="F238" t="s">
        <v>24</v>
      </c>
      <c r="G238">
        <v>30</v>
      </c>
    </row>
    <row r="239" spans="5:7" x14ac:dyDescent="0.3">
      <c r="E239" t="s">
        <v>33</v>
      </c>
      <c r="F239" t="s">
        <v>24</v>
      </c>
      <c r="G239">
        <v>30</v>
      </c>
    </row>
    <row r="240" spans="5:7" x14ac:dyDescent="0.3">
      <c r="E240" t="s">
        <v>67</v>
      </c>
      <c r="F240" t="s">
        <v>24</v>
      </c>
      <c r="G240">
        <v>48</v>
      </c>
    </row>
    <row r="241" spans="5:7" x14ac:dyDescent="0.3">
      <c r="E241" t="s">
        <v>68</v>
      </c>
      <c r="F241" t="s">
        <v>24</v>
      </c>
      <c r="G241">
        <v>46</v>
      </c>
    </row>
    <row r="242" spans="5:7" x14ac:dyDescent="0.3">
      <c r="E242" t="s">
        <v>213</v>
      </c>
      <c r="F242" t="s">
        <v>417</v>
      </c>
      <c r="G242">
        <v>4</v>
      </c>
    </row>
    <row r="243" spans="5:7" x14ac:dyDescent="0.3">
      <c r="E243" t="s">
        <v>206</v>
      </c>
      <c r="F243" t="s">
        <v>417</v>
      </c>
      <c r="G243">
        <v>30</v>
      </c>
    </row>
    <row r="244" spans="5:7" x14ac:dyDescent="0.3">
      <c r="E244" t="s">
        <v>57</v>
      </c>
      <c r="F244" t="s">
        <v>24</v>
      </c>
      <c r="G244">
        <v>46</v>
      </c>
    </row>
    <row r="245" spans="5:7" x14ac:dyDescent="0.3">
      <c r="E245" t="s">
        <v>55</v>
      </c>
      <c r="F245" t="s">
        <v>24</v>
      </c>
      <c r="G245">
        <v>41</v>
      </c>
    </row>
    <row r="246" spans="5:7" x14ac:dyDescent="0.3">
      <c r="E246" t="s">
        <v>146</v>
      </c>
      <c r="F246" t="s">
        <v>414</v>
      </c>
      <c r="G246">
        <v>43</v>
      </c>
    </row>
    <row r="247" spans="5:7" x14ac:dyDescent="0.3">
      <c r="E247" t="s">
        <v>256</v>
      </c>
      <c r="F247" t="s">
        <v>232</v>
      </c>
      <c r="G247">
        <v>27</v>
      </c>
    </row>
    <row r="248" spans="5:7" x14ac:dyDescent="0.3">
      <c r="E248" t="s">
        <v>255</v>
      </c>
      <c r="F248" t="s">
        <v>232</v>
      </c>
      <c r="G248">
        <v>74</v>
      </c>
    </row>
    <row r="249" spans="5:7" x14ac:dyDescent="0.3">
      <c r="E249" t="s">
        <v>254</v>
      </c>
      <c r="F249" t="s">
        <v>232</v>
      </c>
      <c r="G249">
        <v>54</v>
      </c>
    </row>
    <row r="250" spans="5:7" x14ac:dyDescent="0.3">
      <c r="E250" t="s">
        <v>253</v>
      </c>
      <c r="F250" t="s">
        <v>232</v>
      </c>
      <c r="G250">
        <v>37</v>
      </c>
    </row>
    <row r="251" spans="5:7" x14ac:dyDescent="0.3">
      <c r="E251" t="s">
        <v>59</v>
      </c>
      <c r="F251" t="s">
        <v>24</v>
      </c>
      <c r="G251">
        <v>38</v>
      </c>
    </row>
    <row r="252" spans="5:7" x14ac:dyDescent="0.3">
      <c r="E252" t="s">
        <v>34</v>
      </c>
      <c r="F252" t="s">
        <v>24</v>
      </c>
      <c r="G252">
        <v>31</v>
      </c>
    </row>
    <row r="253" spans="5:7" x14ac:dyDescent="0.3">
      <c r="E253" t="s">
        <v>73</v>
      </c>
      <c r="F253" t="s">
        <v>24</v>
      </c>
      <c r="G253">
        <v>56</v>
      </c>
    </row>
    <row r="254" spans="5:7" x14ac:dyDescent="0.3">
      <c r="E254" t="s">
        <v>372</v>
      </c>
      <c r="F254" t="s">
        <v>415</v>
      </c>
      <c r="G254">
        <v>74</v>
      </c>
    </row>
    <row r="255" spans="5:7" x14ac:dyDescent="0.3">
      <c r="E255" t="s">
        <v>371</v>
      </c>
      <c r="F255" t="s">
        <v>415</v>
      </c>
      <c r="G255">
        <v>58</v>
      </c>
    </row>
    <row r="256" spans="5:7" x14ac:dyDescent="0.3">
      <c r="E256" t="s">
        <v>370</v>
      </c>
      <c r="F256" t="s">
        <v>415</v>
      </c>
      <c r="G256">
        <v>47</v>
      </c>
    </row>
    <row r="257" spans="5:7" x14ac:dyDescent="0.3">
      <c r="E257" t="s">
        <v>379</v>
      </c>
      <c r="F257" t="s">
        <v>415</v>
      </c>
      <c r="G257">
        <v>90</v>
      </c>
    </row>
    <row r="258" spans="5:7" x14ac:dyDescent="0.3">
      <c r="E258" t="s">
        <v>231</v>
      </c>
      <c r="F258" t="s">
        <v>219</v>
      </c>
      <c r="G258">
        <v>49</v>
      </c>
    </row>
    <row r="259" spans="5:7" x14ac:dyDescent="0.3">
      <c r="E259" t="s">
        <v>276</v>
      </c>
      <c r="F259" t="s">
        <v>416</v>
      </c>
      <c r="G259">
        <v>27</v>
      </c>
    </row>
    <row r="260" spans="5:7" x14ac:dyDescent="0.3">
      <c r="E260" t="s">
        <v>275</v>
      </c>
      <c r="F260" t="s">
        <v>416</v>
      </c>
      <c r="G260">
        <v>54</v>
      </c>
    </row>
    <row r="261" spans="5:7" x14ac:dyDescent="0.3">
      <c r="E261" t="s">
        <v>274</v>
      </c>
      <c r="F261" t="s">
        <v>416</v>
      </c>
      <c r="G261">
        <v>45</v>
      </c>
    </row>
    <row r="262" spans="5:7" x14ac:dyDescent="0.3">
      <c r="E262" t="s">
        <v>273</v>
      </c>
      <c r="F262" t="s">
        <v>416</v>
      </c>
      <c r="G262">
        <v>36</v>
      </c>
    </row>
    <row r="263" spans="5:7" x14ac:dyDescent="0.3">
      <c r="E263" t="s">
        <v>376</v>
      </c>
      <c r="F263" t="s">
        <v>415</v>
      </c>
      <c r="G263">
        <v>86</v>
      </c>
    </row>
  </sheetData>
  <pageMargins left="0.7" right="0.7" top="0.75" bottom="0.75" header="0.3" footer="0.3"/>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03AD6-C414-4B05-B994-8B682EA0E115}">
  <sheetPr codeName="Sheet7"/>
  <dimension ref="A3:B5"/>
  <sheetViews>
    <sheetView workbookViewId="0">
      <selection activeCell="D11" sqref="D11"/>
    </sheetView>
  </sheetViews>
  <sheetFormatPr defaultRowHeight="14.4" x14ac:dyDescent="0.3"/>
  <cols>
    <col min="1" max="1" width="10.77734375" bestFit="1" customWidth="1"/>
    <col min="2" max="2" width="16.44140625" bestFit="1" customWidth="1"/>
    <col min="3" max="3" width="14.109375" bestFit="1" customWidth="1"/>
    <col min="4" max="4" width="21.88671875" bestFit="1" customWidth="1"/>
    <col min="5" max="7" width="24.21875" bestFit="1" customWidth="1"/>
    <col min="8" max="14" width="13.6640625" bestFit="1" customWidth="1"/>
  </cols>
  <sheetData>
    <row r="3" spans="1:2" x14ac:dyDescent="0.3">
      <c r="A3" s="1" t="s">
        <v>0</v>
      </c>
      <c r="B3" t="s">
        <v>434</v>
      </c>
    </row>
    <row r="4" spans="1:2" x14ac:dyDescent="0.3">
      <c r="A4" t="s">
        <v>219</v>
      </c>
      <c r="B4" s="41">
        <v>7</v>
      </c>
    </row>
    <row r="5" spans="1:2" x14ac:dyDescent="0.3">
      <c r="A5" t="s">
        <v>400</v>
      </c>
      <c r="B5" s="41">
        <v>7</v>
      </c>
    </row>
  </sheetData>
  <conditionalFormatting sqref="B11">
    <cfRule type="colorScale" priority="2">
      <colorScale>
        <cfvo type="min"/>
        <cfvo type="max"/>
        <color rgb="FFFFC000"/>
        <color rgb="FFFF0000"/>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12</vt:i4>
      </vt:variant>
    </vt:vector>
  </HeadingPairs>
  <TitlesOfParts>
    <vt:vector size="24" baseType="lpstr">
      <vt:lpstr>menu</vt:lpstr>
      <vt:lpstr>Menu_Cleaned</vt:lpstr>
      <vt:lpstr>Dashboard</vt:lpstr>
      <vt:lpstr>Category_Items</vt:lpstr>
      <vt:lpstr>List_NutientFacts</vt:lpstr>
      <vt:lpstr>SugarContent_Desserts</vt:lpstr>
      <vt:lpstr>IdealCalorieItems</vt:lpstr>
      <vt:lpstr>FatCaloriePercent</vt:lpstr>
      <vt:lpstr>Micronutrients_Classification</vt:lpstr>
      <vt:lpstr>Calorie vs CalorieFromFat</vt:lpstr>
      <vt:lpstr>Top N Items</vt:lpstr>
      <vt:lpstr>Sheet5</vt:lpstr>
      <vt:lpstr>A_B</vt:lpstr>
      <vt:lpstr>Beef_Pork</vt:lpstr>
      <vt:lpstr>Beverages</vt:lpstr>
      <vt:lpstr>Breakfast</vt:lpstr>
      <vt:lpstr>Categories</vt:lpstr>
      <vt:lpstr>Chicken_Fish</vt:lpstr>
      <vt:lpstr>Coffee_Tea</vt:lpstr>
      <vt:lpstr>Desserts</vt:lpstr>
      <vt:lpstr>HighCarbs</vt:lpstr>
      <vt:lpstr>Salads</vt:lpstr>
      <vt:lpstr>Smoothies_Shakes</vt:lpstr>
      <vt:lpstr>Snacks_Sides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Vyabini Venkatesan</dc:creator>
  <cp:lastModifiedBy>Vyabini Venkatesan</cp:lastModifiedBy>
  <dcterms:created xsi:type="dcterms:W3CDTF">2023-06-11T12:52:24Z</dcterms:created>
  <dcterms:modified xsi:type="dcterms:W3CDTF">2023-09-12T06:54:33Z</dcterms:modified>
</cp:coreProperties>
</file>